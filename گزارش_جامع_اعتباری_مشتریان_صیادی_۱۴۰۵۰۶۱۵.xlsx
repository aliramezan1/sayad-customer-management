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خلاصه_مدیریتی" sheetId="1" state="visible" r:id="rId1"/>
    <sheet xmlns:r="http://schemas.openxmlformats.org/officeDocument/2006/relationships" name="02_مشتریان_یکتا" sheetId="2" state="visible" r:id="rId2"/>
    <sheet xmlns:r="http://schemas.openxmlformats.org/officeDocument/2006/relationships" name="03_رخدادهای_امروز" sheetId="3" state="visible" r:id="rId3"/>
    <sheet xmlns:r="http://schemas.openxmlformats.org/officeDocument/2006/relationships" name="04_اقدام_فوری" sheetId="4" state="visible" r:id="rId4"/>
    <sheet xmlns:r="http://schemas.openxmlformats.org/officeDocument/2006/relationships" name="05_مراقبت" sheetId="5" state="visible" r:id="rId5"/>
    <sheet xmlns:r="http://schemas.openxmlformats.org/officeDocument/2006/relationships" name="06_بهبود" sheetId="6" state="visible" r:id="rId6"/>
    <sheet xmlns:r="http://schemas.openxmlformats.org/officeDocument/2006/relationships" name="07_چکهای_تفصیلی" sheetId="7" state="visible" r:id="rId7"/>
    <sheet xmlns:r="http://schemas.openxmlformats.org/officeDocument/2006/relationships" name="08_مشکلات_هویتی" sheetId="8" state="visible" r:id="rId8"/>
    <sheet xmlns:r="http://schemas.openxmlformats.org/officeDocument/2006/relationships" name="09_ممیزی" sheetId="9" state="visible" r:id="rId9"/>
    <sheet xmlns:r="http://schemas.openxmlformats.org/officeDocument/2006/relationships" name="10_راهنما" sheetId="10" state="visible" r:id="rId10"/>
    <sheet xmlns:r="http://schemas.openxmlformats.org/officeDocument/2006/relationships" name="11_اختلاف_با_نسخه_قبل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2">
    <font>
      <name val="Calibri"/>
      <family val="2"/>
      <color theme="1"/>
      <sz val="11"/>
      <scheme val="minor"/>
    </font>
    <font>
      <name val="Tahoma"/>
      <b val="1"/>
      <color rgb="001E3A8A"/>
      <sz val="15"/>
    </font>
    <font>
      <name val="Tahoma"/>
      <i val="1"/>
      <color rgb="0064748B"/>
      <sz val="9"/>
    </font>
    <font>
      <name val="Tahoma"/>
      <b val="1"/>
      <color rgb="00FFFFFF"/>
      <sz val="11"/>
    </font>
    <font>
      <name val="Tahoma"/>
      <b val="1"/>
      <color rgb="00FFFFFF"/>
      <sz val="10"/>
    </font>
    <font>
      <name val="Tahoma"/>
      <b val="1"/>
      <color rgb="000F172A"/>
      <sz val="9"/>
    </font>
    <font>
      <name val="Tahoma"/>
      <color rgb="000F172A"/>
      <sz val="9"/>
    </font>
    <font>
      <name val="Tahoma"/>
      <b val="1"/>
      <color rgb="001E3A8A"/>
      <sz val="10"/>
    </font>
    <font>
      <name val="Tahoma"/>
      <b val="1"/>
      <color rgb="00991B1B"/>
      <sz val="9"/>
    </font>
    <font>
      <name val="Tahoma"/>
      <b val="1"/>
      <color rgb="00C2410C"/>
      <sz val="9"/>
    </font>
    <font>
      <name val="Tahoma"/>
      <b val="1"/>
      <color rgb="00A16207"/>
      <sz val="9"/>
    </font>
    <font>
      <name val="Tahoma"/>
      <color rgb="00166534"/>
      <sz val="9"/>
    </font>
    <font>
      <name val="Tahoma"/>
      <b val="1"/>
      <color rgb="00166534"/>
      <sz val="9"/>
    </font>
    <font>
      <name val="Tahoma"/>
      <i val="1"/>
      <color rgb="0064748B"/>
      <sz val="10"/>
    </font>
    <font>
      <name val="Tahoma"/>
      <b val="1"/>
      <color rgb="00166534"/>
      <sz val="11"/>
    </font>
    <font>
      <name val="Tahoma"/>
      <b val="1"/>
      <color rgb="000F172A"/>
      <sz val="10"/>
    </font>
    <font>
      <name val="Tahoma"/>
      <b val="1"/>
      <color rgb="001E3A8A"/>
      <sz val="8.5"/>
    </font>
    <font>
      <name val="Tahoma"/>
      <color rgb="000F172A"/>
      <sz val="10"/>
    </font>
    <font>
      <name val="Consolas"/>
      <color rgb="001E293B"/>
      <sz val="9"/>
    </font>
    <font>
      <name val="Tahoma"/>
      <b val="1"/>
      <color rgb="00166534"/>
      <sz val="10"/>
    </font>
    <font>
      <name val="Tahoma"/>
      <color rgb="00991B1B"/>
      <sz val="9"/>
    </font>
    <font>
      <name val="Tahoma"/>
      <b val="1"/>
      <color rgb="000F766E"/>
      <sz val="10"/>
    </font>
  </fonts>
  <fills count="16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F0FDF4"/>
        <bgColor rgb="00F0FDF4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  <fill>
      <patternFill patternType="solid">
        <fgColor rgb="0015803D"/>
        <bgColor rgb="0015803D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3" fontId="5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right" vertical="center" wrapText="1"/>
    </xf>
    <xf numFmtId="0" fontId="9" fillId="8" borderId="1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right" vertical="center" wrapText="1"/>
    </xf>
    <xf numFmtId="0" fontId="10" fillId="9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3" fontId="5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right" vertical="center" wrapText="1"/>
    </xf>
    <xf numFmtId="0" fontId="6" fillId="11" borderId="1" applyAlignment="1" pivotButton="0" quotePrefix="0" xfId="0">
      <alignment horizontal="center" vertical="center" wrapText="1"/>
    </xf>
    <xf numFmtId="3" fontId="5" fillId="11" borderId="1" applyAlignment="1" pivotButton="0" quotePrefix="0" xfId="0">
      <alignment horizontal="center" vertical="center" wrapText="1"/>
    </xf>
    <xf numFmtId="164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right" vertical="center" wrapText="1"/>
    </xf>
    <xf numFmtId="0" fontId="5" fillId="12" borderId="2" applyAlignment="1" pivotButton="0" quotePrefix="0" xfId="0">
      <alignment horizontal="center" vertical="center" wrapText="1"/>
    </xf>
    <xf numFmtId="3" fontId="5" fillId="12" borderId="2" applyAlignment="1" pivotButton="0" quotePrefix="0" xfId="0">
      <alignment horizontal="center" vertical="center" wrapText="1"/>
    </xf>
    <xf numFmtId="164" fontId="5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right" vertical="center" wrapText="1"/>
    </xf>
    <xf numFmtId="49" fontId="6" fillId="0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49" fontId="6" fillId="4" borderId="1" applyAlignment="1" pivotButton="0" quotePrefix="0" xfId="0">
      <alignment horizontal="center" vertical="center" wrapText="1"/>
    </xf>
    <xf numFmtId="10" fontId="6" fillId="4" borderId="1" applyAlignment="1" pivotButton="0" quotePrefix="0" xfId="0">
      <alignment horizontal="center" vertical="center" wrapText="1"/>
    </xf>
    <xf numFmtId="2" fontId="6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12" borderId="2" pivotButton="0" quotePrefix="0" xfId="0"/>
    <xf numFmtId="10" fontId="5" fillId="12" borderId="2" applyAlignment="1" pivotButton="0" quotePrefix="0" xfId="0">
      <alignment horizontal="center" vertical="center" wrapText="1"/>
    </xf>
    <xf numFmtId="2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center" vertical="center" wrapText="1"/>
    </xf>
    <xf numFmtId="49" fontId="6" fillId="7" borderId="1" applyAlignment="1" pivotButton="0" quotePrefix="0" xfId="0">
      <alignment horizontal="center" vertical="center" wrapText="1"/>
    </xf>
    <xf numFmtId="165" fontId="8" fillId="7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49" fontId="6" fillId="9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49" fontId="6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right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right" vertical="center" wrapText="1"/>
    </xf>
    <xf numFmtId="0" fontId="15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/>
    </xf>
    <xf numFmtId="0" fontId="19" fillId="11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right" vertical="center" wrapText="1"/>
    </xf>
    <xf numFmtId="0" fontId="18" fillId="4" borderId="1" applyAlignment="1" pivotButton="0" quotePrefix="0" xfId="0">
      <alignment horizontal="left" vertical="center"/>
    </xf>
    <xf numFmtId="0" fontId="15" fillId="5" borderId="2" applyAlignment="1" pivotButton="0" quotePrefix="0" xfId="0">
      <alignment horizontal="right" vertical="center" wrapText="1"/>
    </xf>
    <xf numFmtId="0" fontId="19" fillId="11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righ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righ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right" vertical="center" wrapText="1"/>
    </xf>
    <xf numFmtId="0" fontId="20" fillId="0" borderId="1" applyAlignment="1" pivotButton="0" quotePrefix="0" xfId="0">
      <alignment horizontal="right" vertical="center" wrapText="1"/>
    </xf>
    <xf numFmtId="0" fontId="20" fillId="4" borderId="1" applyAlignment="1" pivotButton="0" quotePrefix="0" xfId="0">
      <alignment horizontal="right" vertical="center" wrapText="1"/>
    </xf>
    <xf numFmtId="0" fontId="12" fillId="4" borderId="1" applyAlignment="1" pivotButton="0" quotePrefix="0" xfId="0">
      <alignment horizontal="right" vertical="center" wrapText="1"/>
    </xf>
    <xf numFmtId="0" fontId="2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43"/>
  <sheetViews>
    <sheetView rightToLeft="1" workbookViewId="0">
      <selection activeCell="A1" sqref="A1"/>
    </sheetView>
  </sheetViews>
  <sheetFormatPr baseColWidth="8" defaultRowHeight="15"/>
  <cols>
    <col width="65" customWidth="1" min="1" max="1"/>
    <col width="27" customWidth="1" min="2" max="2"/>
    <col width="19" customWidth="1" min="3" max="3"/>
    <col width="62" customWidth="1" min="4" max="4"/>
    <col width="24" customWidth="1" min="5" max="5"/>
    <col width="64" customWidth="1" min="6" max="6"/>
    <col width="19" customWidth="1" min="7" max="7"/>
    <col width="15" customWidth="1" min="8" max="8"/>
    <col width="14" customWidth="1" min="9" max="9"/>
    <col width="65" customWidth="1" min="10" max="10"/>
  </cols>
  <sheetData>
    <row r="1">
      <c r="A1" s="1" t="inlineStr">
        <is>
          <t>داشبورد جامع مدیریت ریسک اعتباری و شاخص‌های کلیدی سبد صیادی</t>
        </is>
      </c>
    </row>
    <row r="2">
      <c r="A2" s="2" t="inlineStr">
        <is>
          <t>سامانه هوشمند مدیریت اعتباری صیاد | تاریخ مبنای استعلام: 1405/06/15 | زمان تولید گزارش: 1405/06/16 ساعت 08:29:11 | مبنای محاسبات: تجمیع تک‌باره صادرکننده یکتا و حذف قطعی خطای دوباره‌شماری</t>
        </is>
      </c>
    </row>
    <row r="3"/>
    <row r="4">
      <c r="A4" s="3" t="inlineStr">
        <is>
          <t>شاخص‌های کلیدی سبد اعتباری (Portfolio KPIs)</t>
        </is>
      </c>
    </row>
    <row r="5">
      <c r="A5" s="4" t="inlineStr">
        <is>
          <t>شاخص کلیدی</t>
        </is>
      </c>
      <c r="B5" s="4" t="inlineStr">
        <is>
          <t>مقدار عددی</t>
        </is>
      </c>
      <c r="C5" s="4" t="inlineStr">
        <is>
          <t>واحد سنجش</t>
        </is>
      </c>
      <c r="D5" s="4" t="inlineStr">
        <is>
          <t>توضیحات و تفکیک نظارتی</t>
        </is>
      </c>
    </row>
    <row r="6">
      <c r="A6" s="5" t="inlineStr">
        <is>
          <t>تعداد کل صادرکنندگان دارای پروفایل بانکی معتبر</t>
        </is>
      </c>
      <c r="B6" s="6" t="n">
        <v>46</v>
      </c>
      <c r="C6" s="7" t="inlineStr">
        <is>
          <t>نفر</t>
        </is>
      </c>
      <c r="D6" s="8" t="inlineStr">
        <is>
          <t>صادرکنندگان احراز هویت شده و فعال اعتباری در شبکه صیاد</t>
        </is>
      </c>
    </row>
    <row r="7">
      <c r="A7" s="9" t="inlineStr">
        <is>
          <t>تعداد کل اسناد و چک‌های نزد صندوق</t>
        </is>
      </c>
      <c r="B7" s="10" t="n">
        <v>147</v>
      </c>
      <c r="C7" s="11" t="inlineStr">
        <is>
          <t>فقره</t>
        </is>
      </c>
      <c r="D7" s="12" t="inlineStr">
        <is>
          <t>۱۴۶ چک صیادی بانکی + ۱ سند سفته معاف</t>
        </is>
      </c>
    </row>
    <row r="8">
      <c r="A8" s="5" t="inlineStr">
        <is>
          <t>مجموع ارزش ریالی اسناد و چک‌های صندوق</t>
        </is>
      </c>
      <c r="B8" s="13" t="n">
        <v>483325000000</v>
      </c>
      <c r="C8" s="7" t="inlineStr">
        <is>
          <t>ریال</t>
        </is>
      </c>
      <c r="D8" s="8" t="inlineStr">
        <is>
          <t>تعهد مستقیم فیزیکی نزد صندوق (۴۸.۳۳۲ میلیارد تومان)</t>
        </is>
      </c>
    </row>
    <row r="9">
      <c r="A9" s="9" t="inlineStr">
        <is>
          <t>مجموع ارزش ریالی چک‌های صندوق مشتریان معتبر</t>
        </is>
      </c>
      <c r="B9" s="14" t="n">
        <v>479705000000</v>
      </c>
      <c r="C9" s="11" t="inlineStr">
        <is>
          <t>ریال</t>
        </is>
      </c>
      <c r="D9" s="12" t="inlineStr">
        <is>
          <t>تفاضل ۳.۶۲ میلیارد ریال در اسناد معاف و حل‌نشده</t>
        </is>
      </c>
    </row>
    <row r="10">
      <c r="A10" s="5" t="inlineStr">
        <is>
          <t>مجموع چک‌های در راه بانکی (تجمیع تک‌باره)</t>
        </is>
      </c>
      <c r="B10" s="13" t="n">
        <v>4856322051407</v>
      </c>
      <c r="C10" s="7" t="inlineStr">
        <is>
          <t>ریال</t>
        </is>
      </c>
      <c r="D10" s="8" t="inlineStr">
        <is>
          <t>تعهدات در گردش صادرکنندگان در کل شبکه بانکی</t>
        </is>
      </c>
    </row>
    <row r="11">
      <c r="A11" s="9" t="inlineStr">
        <is>
          <t>مجموع چک‌های برگشتی بانکی (تجمیع تک‌باره)</t>
        </is>
      </c>
      <c r="B11" s="14" t="n">
        <v>244751000000</v>
      </c>
      <c r="C11" s="15" t="n">
        <v>244751000000</v>
      </c>
      <c r="D11" s="12" t="inlineStr">
        <is>
          <t>برگشتی فعال صادرکنندگان (بدون دوباره‌شماری تکراری)</t>
        </is>
      </c>
    </row>
    <row r="12">
      <c r="A12" s="5" t="inlineStr">
        <is>
          <t>مجموع مبالغ رفع سوءاثر شده صادرکنندگان</t>
        </is>
      </c>
      <c r="B12" s="13" t="n">
        <v>1109486999968</v>
      </c>
      <c r="C12" s="7" t="inlineStr">
        <is>
          <t>ریال</t>
        </is>
      </c>
      <c r="D12" s="8" t="inlineStr">
        <is>
          <t>سابقه تسویه و آزادسازی موفق صادرکنندگان در شبکه</t>
        </is>
      </c>
    </row>
    <row r="13">
      <c r="A13" s="9" t="inlineStr">
        <is>
          <t>مجموع کل تعهدات فعال بانکی (در راه + برگشتی)</t>
        </is>
      </c>
      <c r="B13" s="14" t="n">
        <v>5101073051407</v>
      </c>
      <c r="C13" s="11" t="inlineStr">
        <is>
          <t>ریال</t>
        </is>
      </c>
      <c r="D13" s="12" t="inlineStr">
        <is>
          <t>کل بار تعهدی فعال صادرکنندگان در شبکه بانکی</t>
        </is>
      </c>
    </row>
    <row r="14">
      <c r="A14" s="5" t="inlineStr">
        <is>
          <t>نسبت چک‌های برگشتی به تعهد فعال</t>
        </is>
      </c>
      <c r="B14" s="16" t="n">
        <v>4.8</v>
      </c>
      <c r="C14" s="7" t="inlineStr">
        <is>
          <t>درصد</t>
        </is>
      </c>
      <c r="D14" s="8" t="inlineStr">
        <is>
          <t>نسبت کل برگشتی به تعهد فعال بانکی (~۴.۸۰٪)</t>
        </is>
      </c>
    </row>
    <row r="15">
      <c r="A15" s="9" t="inlineStr">
        <is>
          <t>شاخص تمرکز هرفیندال-هیرشمن (HHI)</t>
        </is>
      </c>
      <c r="B15" s="14" t="n">
        <v>1407.27</v>
      </c>
      <c r="C15" s="11" t="inlineStr">
        <is>
          <t>واحد</t>
        </is>
      </c>
      <c r="D15" s="12" t="inlineStr">
        <is>
          <t>تمرکز متوسط رو به بالا در مطالبات معوق بانکی</t>
        </is>
      </c>
    </row>
    <row r="16">
      <c r="A16" s="5" t="inlineStr">
        <is>
          <t>سهم تمرکز ۱۰ صادرکننده پرریسک صدر جدول</t>
        </is>
      </c>
      <c r="B16" s="16" t="n">
        <v>96.59999999999999</v>
      </c>
      <c r="C16" s="7" t="inlineStr">
        <is>
          <t>درصد</t>
        </is>
      </c>
      <c r="D16" s="8" t="inlineStr">
        <is>
          <t>۲۳۶.۴۲۵ میلیارد ریال از ۲۴۴.۷۵۱ میلیارد ریال برگشتی</t>
        </is>
      </c>
    </row>
    <row r="17">
      <c r="A17" s="9" t="inlineStr">
        <is>
          <t>تعداد صادرکنندگان دارای چک برگشتی فعال</t>
        </is>
      </c>
      <c r="B17" s="10">
        <f>COUNTIF('02_مشتریان_یکتا'!K4:K49, "&gt;0")</f>
        <v/>
      </c>
      <c r="C17" s="11" t="inlineStr">
        <is>
          <t>نفر</t>
        </is>
      </c>
      <c r="D17" s="12" t="inlineStr">
        <is>
          <t>۱۳ صادرکننده با برگشتی مثبت در میان ۴۶ پروفایل معتبر بانکی</t>
        </is>
      </c>
    </row>
    <row r="18"/>
    <row r="19">
      <c r="A19" s="17" t="inlineStr">
        <is>
          <t>بیانیه الزامی نظارتی و ممیزی عدم دوباره‌شماری:
«محاسبات بانکی بر اساس مشتری یکتا انجام شد و هیچ مبلغ در راه/برگشتی/رفع سوءاثر به دلیل تعدد چک دوباره‌شماری نشده است»</t>
        </is>
      </c>
      <c r="B19" s="18" t="n"/>
      <c r="C19" s="18" t="n"/>
      <c r="D19" s="18" t="n"/>
    </row>
    <row r="20">
      <c r="A20" s="18" t="n"/>
      <c r="B20" s="18" t="n"/>
      <c r="C20" s="18" t="n"/>
      <c r="D20" s="18" t="n"/>
    </row>
    <row r="21"/>
    <row r="22">
      <c r="A22" s="3" t="inlineStr">
        <is>
          <t>توزیع طبقات پنج‌گانه ریسک اعتباری صادرکنندگان (Risk Tiers)</t>
        </is>
      </c>
    </row>
    <row r="23">
      <c r="A23" s="19" t="inlineStr">
        <is>
          <t>طبقه ریسک</t>
        </is>
      </c>
      <c r="B23" s="19" t="inlineStr">
        <is>
          <t>بازه امتیاز</t>
        </is>
      </c>
      <c r="C23" s="19" t="inlineStr">
        <is>
          <t>تعداد صادرکننده</t>
        </is>
      </c>
      <c r="D23" s="19" t="inlineStr">
        <is>
          <t>درصد جمعیتی</t>
        </is>
      </c>
      <c r="E23" s="19" t="inlineStr">
        <is>
          <t>تعهدات صندوق (ریال)</t>
        </is>
      </c>
      <c r="F23" s="19" t="inlineStr">
        <is>
          <t>راهبرد عملیاتی</t>
        </is>
      </c>
    </row>
    <row r="24">
      <c r="A24" s="20" t="inlineStr">
        <is>
          <t>اقدام فوری (Immediate Action)</t>
        </is>
      </c>
      <c r="B24" s="21" t="inlineStr">
        <is>
          <t>۸۱ تا ۱۰۰</t>
        </is>
      </c>
      <c r="C24" s="22">
        <f>COUNTIF('02_مشتریان_یکتا'!$R$4:$R$49, "اقدام فوری")</f>
        <v/>
      </c>
      <c r="D24" s="23">
        <f>C24/$B$6</f>
        <v/>
      </c>
      <c r="E24" s="22">
        <f>SUMIFS('02_مشتریان_یکتا'!$H$4:$H$49, '02_مشتریان_یکتا'!$R$4:$R$49, "اقدام فوری")</f>
        <v/>
      </c>
      <c r="F24" s="24" t="inlineStr">
        <is>
          <t>توقف فوری افزایش اعتبار، ضبط وثایق و پیگیری حقوقی وصول</t>
        </is>
      </c>
    </row>
    <row r="25">
      <c r="A25" s="25" t="inlineStr">
        <is>
          <t>پرریسک (High Risk)</t>
        </is>
      </c>
      <c r="B25" s="26" t="inlineStr">
        <is>
          <t>۶۱ تا ۸۰</t>
        </is>
      </c>
      <c r="C25" s="27">
        <f>COUNTIF('02_مشتریان_یکتا'!$R$4:$R$49, "پرریسک")</f>
        <v/>
      </c>
      <c r="D25" s="28">
        <f>C25/$B$6</f>
        <v/>
      </c>
      <c r="E25" s="27">
        <f>SUMIFS('02_مشتریان_یکتا'!$H$4:$H$49, '02_مشتریان_یکتا'!$R$4:$R$49, "پرریسک")</f>
        <v/>
      </c>
      <c r="F25" s="29" t="inlineStr">
        <is>
          <t>درخواست وثیقه ملکی/نقد، کاهش سقف و کنترل مستمر</t>
        </is>
      </c>
    </row>
    <row r="26">
      <c r="A26" s="30" t="inlineStr">
        <is>
          <t>مراقبت (Watch List)</t>
        </is>
      </c>
      <c r="B26" s="31" t="inlineStr">
        <is>
          <t>۴۱ تا ۶۰</t>
        </is>
      </c>
      <c r="C26" s="32">
        <f>COUNTIF('02_مشتریان_یکتا'!$R$4:$R$49, "مراقبت")</f>
        <v/>
      </c>
      <c r="D26" s="33">
        <f>C26/$B$6</f>
        <v/>
      </c>
      <c r="E26" s="32">
        <f>SUMIFS('02_مشتریان_یکتا'!$H$4:$H$49, '02_مشتریان_یکتا'!$R$4:$R$49, "مراقبت")</f>
        <v/>
      </c>
      <c r="F26" s="34" t="inlineStr">
        <is>
          <t>اخذ تضمین فرعی، تبدیل چک مدت‌دار به نقد، پایش هفتگی و روزانه</t>
        </is>
      </c>
    </row>
    <row r="27">
      <c r="A27" s="35" t="inlineStr">
        <is>
          <t>عادی (Normal)</t>
        </is>
      </c>
      <c r="B27" s="36" t="inlineStr">
        <is>
          <t>۲۱ تا ۴۰</t>
        </is>
      </c>
      <c r="C27" s="37">
        <f>COUNTIF('02_مشتریان_یکتا'!$R$4:$R$49, "عادی")</f>
        <v/>
      </c>
      <c r="D27" s="38">
        <f>C27/$B$6</f>
        <v/>
      </c>
      <c r="E27" s="37">
        <f>SUMIFS('02_مشتریان_یکتا'!$H$4:$H$49, '02_مشتریان_یکتا'!$R$4:$R$49, "عادی")</f>
        <v/>
      </c>
      <c r="F27" s="35" t="inlineStr">
        <is>
          <t>روال استاندارد اعتباری و پایش سررسیدها</t>
        </is>
      </c>
    </row>
    <row r="28">
      <c r="A28" s="39" t="inlineStr">
        <is>
          <t>کم‌ریسک (Low Risk)</t>
        </is>
      </c>
      <c r="B28" s="40" t="inlineStr">
        <is>
          <t>۰ تا ۲۰</t>
        </is>
      </c>
      <c r="C28" s="41">
        <f>COUNTIF('02_مشتریان_یکتا'!$R$4:$R$49, "کم‌ریسک")</f>
        <v/>
      </c>
      <c r="D28" s="42">
        <f>C28/$B$6</f>
        <v/>
      </c>
      <c r="E28" s="41">
        <f>SUMIFS('02_مشتریان_یکتا'!$H$4:$H$49, '02_مشتریان_یکتا'!$R$4:$R$49, "کم‌ریسک")</f>
        <v/>
      </c>
      <c r="F28" s="43" t="inlineStr">
        <is>
          <t>پذیرش چک و اعطای سقف حداکثری تسهیلات تجاری</t>
        </is>
      </c>
    </row>
    <row r="29">
      <c r="A29" s="44" t="inlineStr">
        <is>
          <t>مجموع کل طبقات اعتباری</t>
        </is>
      </c>
      <c r="B29" s="45" t="inlineStr">
        <is>
          <t>-</t>
        </is>
      </c>
      <c r="C29" s="46">
        <f>SUM(C24:C28)</f>
        <v/>
      </c>
      <c r="D29" s="47">
        <f>SUM(D24:D28)</f>
        <v/>
      </c>
      <c r="E29" s="46">
        <f>SUM(E24:E28)</f>
        <v/>
      </c>
      <c r="F29" s="48" t="inlineStr">
        <is>
          <t>تطابق ۱۰۰٪ با ۴۶ پروفایل معتبر و ۴۷۹.۷۰۵ میلیارد ریال صندوق</t>
        </is>
      </c>
    </row>
    <row r="30"/>
    <row r="31">
      <c r="A31" s="3" t="inlineStr">
        <is>
          <t>۱۰ صادرکننده پرریسک صدر جدول و شاخص تمرکز هرفیندال (Top 10 High-Risk Issuers)</t>
        </is>
      </c>
    </row>
    <row r="32">
      <c r="A32" s="19" t="inlineStr">
        <is>
          <t>رتبه</t>
        </is>
      </c>
      <c r="B32" s="19" t="inlineStr">
        <is>
          <t>نام صادرکننده</t>
        </is>
      </c>
      <c r="C32" s="19" t="inlineStr">
        <is>
          <t>کدملی صادرکننده</t>
        </is>
      </c>
      <c r="D32" s="19" t="inlineStr">
        <is>
          <t>مبلغ برگشتی بانکی (ریال)</t>
        </is>
      </c>
      <c r="E32" s="19" t="inlineStr">
        <is>
          <t>سهم از کل برگشتی</t>
        </is>
      </c>
      <c r="F32" s="19" t="inlineStr">
        <is>
          <t>سهم تجمعی (٪)</t>
        </is>
      </c>
      <c r="G32" s="19" t="inlineStr">
        <is>
          <t>سهم در HHI</t>
        </is>
      </c>
      <c r="H32" s="19" t="inlineStr">
        <is>
          <t>امتیاز ریسک</t>
        </is>
      </c>
      <c r="I32" s="19" t="inlineStr">
        <is>
          <t>رده ریسک</t>
        </is>
      </c>
      <c r="J32" s="19" t="inlineStr">
        <is>
          <t>تصمیم اعتباری سامانه</t>
        </is>
      </c>
    </row>
    <row r="33">
      <c r="A33" s="11" t="n">
        <v>1</v>
      </c>
      <c r="B33" s="12" t="inlineStr">
        <is>
          <t>حسین حشمتی</t>
        </is>
      </c>
      <c r="C33" s="49" t="inlineStr">
        <is>
          <t>0933387075</t>
        </is>
      </c>
      <c r="D33" s="14" t="n">
        <v>56960000000</v>
      </c>
      <c r="E33" s="50" t="n">
        <v>0.232726321853639</v>
      </c>
      <c r="F33" s="50" t="n">
        <v>0.2327</v>
      </c>
      <c r="G33" s="51" t="n">
        <v>541.62</v>
      </c>
      <c r="H33" s="10" t="n">
        <v>85</v>
      </c>
      <c r="I33" s="11" t="inlineStr">
        <is>
          <t>اقدام فوری</t>
        </is>
      </c>
      <c r="J33" s="12" t="inlineStr">
        <is>
          <t>مسدودسازی کامل تسهیلات، مطالبه وثیقه ملکی/نقدی، اقدام حقوقی و وصول آنی.</t>
        </is>
      </c>
    </row>
    <row r="34">
      <c r="A34" s="7" t="n">
        <v>2</v>
      </c>
      <c r="B34" s="8" t="inlineStr">
        <is>
          <t>وحید زوار</t>
        </is>
      </c>
      <c r="C34" s="52" t="inlineStr">
        <is>
          <t>6430003159</t>
        </is>
      </c>
      <c r="D34" s="13" t="n">
        <v>46080000000</v>
      </c>
      <c r="E34" s="53" t="n">
        <v>0.1882729794771012</v>
      </c>
      <c r="F34" s="53" t="n">
        <v>0.421</v>
      </c>
      <c r="G34" s="54" t="n">
        <v>354.47</v>
      </c>
      <c r="H34" s="6" t="n">
        <v>78</v>
      </c>
      <c r="I34" s="7" t="inlineStr">
        <is>
          <t>پرریسک</t>
        </is>
      </c>
      <c r="J34" s="8" t="inlineStr">
        <is>
          <t>مسدودسازی سقف تسهیلات، اخذ وثیقه ملکی/نقدی، پایش فشرده و کاهش تعهدات.</t>
        </is>
      </c>
    </row>
    <row r="35">
      <c r="A35" s="11" t="n">
        <v>3</v>
      </c>
      <c r="B35" s="12" t="inlineStr">
        <is>
          <t>محمد رفیق طرقی</t>
        </is>
      </c>
      <c r="C35" s="49" t="inlineStr">
        <is>
          <t>0890543331</t>
        </is>
      </c>
      <c r="D35" s="14" t="n">
        <v>40300000000</v>
      </c>
      <c r="E35" s="50" t="n">
        <v>0.1646571413395655</v>
      </c>
      <c r="F35" s="50" t="n">
        <v>0.5857</v>
      </c>
      <c r="G35" s="51" t="n">
        <v>271.12</v>
      </c>
      <c r="H35" s="10" t="n">
        <v>78</v>
      </c>
      <c r="I35" s="11" t="inlineStr">
        <is>
          <t>پرریسک</t>
        </is>
      </c>
      <c r="J35" s="12" t="inlineStr">
        <is>
          <t>مسدودسازی سقف تسهیلات، اخذ وثیقه ملکی/نقدی، پایش فشرده و کاهش تعهدات.</t>
        </is>
      </c>
    </row>
    <row r="36">
      <c r="A36" s="7" t="n">
        <v>4</v>
      </c>
      <c r="B36" s="8" t="inlineStr">
        <is>
          <t>محمدجواد وفادار عیدگاهی</t>
        </is>
      </c>
      <c r="C36" s="52" t="inlineStr">
        <is>
          <t>0924020865</t>
        </is>
      </c>
      <c r="D36" s="13" t="n">
        <v>21630000000</v>
      </c>
      <c r="E36" s="53" t="n">
        <v>0.08837553268423827</v>
      </c>
      <c r="F36" s="53" t="n">
        <v>0.674</v>
      </c>
      <c r="G36" s="54" t="n">
        <v>78.09999999999999</v>
      </c>
      <c r="H36" s="6" t="n">
        <v>78</v>
      </c>
      <c r="I36" s="7" t="inlineStr">
        <is>
          <t>پرریسک</t>
        </is>
      </c>
      <c r="J36" s="8" t="inlineStr">
        <is>
          <t>مسدودسازی سقف تسهیلات، اخذ وثیقه ملکی/نقدی، پایش فشرده و کاهش تعهدات.</t>
        </is>
      </c>
    </row>
    <row r="37">
      <c r="A37" s="11" t="n">
        <v>5</v>
      </c>
      <c r="B37" s="12" t="inlineStr">
        <is>
          <t>محمد ضیافتی مالدار</t>
        </is>
      </c>
      <c r="C37" s="49" t="inlineStr">
        <is>
          <t>0922236992</t>
        </is>
      </c>
      <c r="D37" s="14" t="n">
        <v>19160000000</v>
      </c>
      <c r="E37" s="50" t="n">
        <v>0.07828364337632941</v>
      </c>
      <c r="F37" s="50" t="n">
        <v>0.7523000000000001</v>
      </c>
      <c r="G37" s="51" t="n">
        <v>61.28</v>
      </c>
      <c r="H37" s="10" t="n">
        <v>72</v>
      </c>
      <c r="I37" s="11" t="inlineStr">
        <is>
          <t>پرریسک</t>
        </is>
      </c>
      <c r="J37" s="12" t="inlineStr">
        <is>
          <t>مسدودسازی سقف تسهیلات، اخذ وثیقه ملکی/نقدی، پایش فشرده و کاهش تعهدات.</t>
        </is>
      </c>
    </row>
    <row r="38">
      <c r="A38" s="7" t="n">
        <v>6</v>
      </c>
      <c r="B38" s="8" t="inlineStr">
        <is>
          <t>ابوالفضل شافعی</t>
        </is>
      </c>
      <c r="C38" s="52" t="inlineStr">
        <is>
          <t>0941987231</t>
        </is>
      </c>
      <c r="D38" s="13" t="n">
        <v>12800000000</v>
      </c>
      <c r="E38" s="53" t="n">
        <v>0.05229804985475034</v>
      </c>
      <c r="F38" s="53" t="n">
        <v>0.8046</v>
      </c>
      <c r="G38" s="54" t="n">
        <v>27.35</v>
      </c>
      <c r="H38" s="6" t="n">
        <v>72</v>
      </c>
      <c r="I38" s="7" t="inlineStr">
        <is>
          <t>پرریسک</t>
        </is>
      </c>
      <c r="J38" s="8" t="inlineStr">
        <is>
          <t>مسدودسازی سقف تسهیلات، اخذ وثیقه ملکی/نقدی، پایش فشرده و کاهش تعهدات.</t>
        </is>
      </c>
    </row>
    <row r="39">
      <c r="A39" s="11" t="n">
        <v>7</v>
      </c>
      <c r="B39" s="12" t="inlineStr">
        <is>
          <t>زهرا بهرامی پویا</t>
        </is>
      </c>
      <c r="C39" s="49" t="inlineStr">
        <is>
          <t>0927624011</t>
        </is>
      </c>
      <c r="D39" s="14" t="n">
        <v>12300000000</v>
      </c>
      <c r="E39" s="50" t="n">
        <v>0.05025515728229915</v>
      </c>
      <c r="F39" s="50" t="n">
        <v>0.8549</v>
      </c>
      <c r="G39" s="51" t="n">
        <v>25.26</v>
      </c>
      <c r="H39" s="10" t="n">
        <v>72</v>
      </c>
      <c r="I39" s="11" t="inlineStr">
        <is>
          <t>پرریسک</t>
        </is>
      </c>
      <c r="J39" s="12" t="inlineStr">
        <is>
          <t>مسدودسازی سقف تسهیلات، اخذ وثیقه ملکی/نقدی، پایش فشرده و کاهش تعهدات.</t>
        </is>
      </c>
    </row>
    <row r="40">
      <c r="A40" s="7" t="n">
        <v>8</v>
      </c>
      <c r="B40" s="8" t="inlineStr">
        <is>
          <t>احمد زحمتکش باجگیران</t>
        </is>
      </c>
      <c r="C40" s="52" t="inlineStr">
        <is>
          <t>0860270361</t>
        </is>
      </c>
      <c r="D40" s="13" t="n">
        <v>11550000000</v>
      </c>
      <c r="E40" s="53" t="n">
        <v>0.04719081842362238</v>
      </c>
      <c r="F40" s="53" t="n">
        <v>0.9020999999999999</v>
      </c>
      <c r="G40" s="54" t="n">
        <v>22.27</v>
      </c>
      <c r="H40" s="6" t="n">
        <v>72</v>
      </c>
      <c r="I40" s="7" t="inlineStr">
        <is>
          <t>پرریسک</t>
        </is>
      </c>
      <c r="J40" s="8" t="inlineStr">
        <is>
          <t>مسدودسازی سقف تسهیلات، اخذ وثیقه ملکی/نقدی، پایش فشرده و کاهش تعهدات.</t>
        </is>
      </c>
    </row>
    <row r="41">
      <c r="A41" s="11" t="n">
        <v>9</v>
      </c>
      <c r="B41" s="12" t="inlineStr">
        <is>
          <t>محمد زاهدی آغوی</t>
        </is>
      </c>
      <c r="C41" s="49" t="inlineStr">
        <is>
          <t>0690489838</t>
        </is>
      </c>
      <c r="D41" s="14" t="n">
        <v>9398000000</v>
      </c>
      <c r="E41" s="50" t="n">
        <v>0.03839820879179247</v>
      </c>
      <c r="F41" s="50" t="n">
        <v>0.9405</v>
      </c>
      <c r="G41" s="51" t="n">
        <v>14.74</v>
      </c>
      <c r="H41" s="10" t="n">
        <v>65</v>
      </c>
      <c r="I41" s="11" t="inlineStr">
        <is>
          <t>پرریسک</t>
        </is>
      </c>
      <c r="J41" s="12" t="inlineStr">
        <is>
          <t>مسدودسازی سقف تسهیلات، اخذ وثیقه ملکی/نقدی، پایش فشرده و کاهش تعهدات.</t>
        </is>
      </c>
    </row>
    <row r="42">
      <c r="A42" s="7" t="n">
        <v>10</v>
      </c>
      <c r="B42" s="8" t="inlineStr">
        <is>
          <t>وحید اشرافیان</t>
        </is>
      </c>
      <c r="C42" s="52" t="inlineStr">
        <is>
          <t>0921320711</t>
        </is>
      </c>
      <c r="D42" s="13" t="n">
        <v>6247000000</v>
      </c>
      <c r="E42" s="53" t="n">
        <v>0.02552389980020511</v>
      </c>
      <c r="F42" s="53" t="n">
        <v>0.966</v>
      </c>
      <c r="G42" s="54" t="n">
        <v>6.51</v>
      </c>
      <c r="H42" s="6" t="n">
        <v>65</v>
      </c>
      <c r="I42" s="7" t="inlineStr">
        <is>
          <t>پرریسک</t>
        </is>
      </c>
      <c r="J42" s="8" t="inlineStr">
        <is>
          <t>بهبود جزئی؛ تثبیت و انسداد سقف، ادامه تضمین و پایش روزانه.</t>
        </is>
      </c>
    </row>
    <row r="43">
      <c r="A43" s="55" t="inlineStr">
        <is>
          <t>مجموع ۱۰ صادرکننده اول</t>
        </is>
      </c>
      <c r="B43" s="56" t="n"/>
      <c r="C43" s="56" t="n"/>
      <c r="D43" s="46">
        <f>SUM(D33:D42)</f>
        <v/>
      </c>
      <c r="E43" s="57">
        <f>SUM(E33:E42)</f>
        <v/>
      </c>
      <c r="F43" s="57">
        <f>F42</f>
        <v/>
      </c>
      <c r="G43" s="58">
        <f>SUM(G33:G42)</f>
        <v/>
      </c>
      <c r="H43" s="56" t="n"/>
      <c r="I43" s="56" t="n"/>
      <c r="J43" s="59" t="inlineStr">
        <is>
          <t>تمرکز ۹۶.۶۰٪ کل برگشتی در ۱۰ مشتری اول</t>
        </is>
      </c>
    </row>
  </sheetData>
  <mergeCells count="6">
    <mergeCell ref="A1:G1"/>
    <mergeCell ref="A31:J31"/>
    <mergeCell ref="A22:D22"/>
    <mergeCell ref="A4:D4"/>
    <mergeCell ref="A2:G2"/>
    <mergeCell ref="A19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/>
  </sheetPr>
  <dimension ref="A1:S50"/>
  <sheetViews>
    <sheetView rightToLeft="1"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20" customWidth="1" min="3" max="3"/>
    <col width="32" customWidth="1" min="4" max="4"/>
    <col width="14" customWidth="1" min="5" max="5"/>
    <col width="15" customWidth="1" min="6" max="6"/>
    <col width="21" customWidth="1" min="7" max="7"/>
    <col width="34" customWidth="1" min="8" max="8"/>
    <col width="25" customWidth="1" min="9" max="9"/>
    <col width="35" customWidth="1" min="10" max="10"/>
    <col width="35" customWidth="1" min="11" max="11"/>
    <col width="32" customWidth="1" min="12" max="12"/>
    <col width="16" customWidth="1" min="13" max="13"/>
    <col width="25" customWidth="1" min="14" max="14"/>
    <col width="17" customWidth="1" min="15" max="15"/>
    <col width="16" customWidth="1" min="16" max="16"/>
    <col width="21" customWidth="1" min="17" max="17"/>
    <col width="15" customWidth="1" min="18" max="18"/>
    <col width="65" customWidth="1" min="19" max="19"/>
  </cols>
  <sheetData>
    <row r="1">
      <c r="A1" s="1" t="inlineStr">
        <is>
          <t>جدول مرجع مشتریان یکتا و تجمیع تک‌باره اطلاعات اعتباری (Canonical Customers Master Table)</t>
        </is>
      </c>
    </row>
    <row r="2">
      <c r="A2" s="2" t="inlineStr">
        <is>
          <t>تفکیک قطعی تعهدات مستقیم صندوق از وضعیت بانکی صادرکننده | محاسبه امتیاز ریسک ۰ تا ۱۰۰ با رعایت کامل کف‌های اجباری F1 تا F6 | محاسبات بانکی بر اساس مشتری یکتا انجام شد و هیچ مبلغ در راه/برگشتی/رفع سوءاثر به دلیل تعدد چک دوباره‌شماری نشده است</t>
        </is>
      </c>
    </row>
    <row r="3">
      <c r="A3" s="4" t="inlineStr">
        <is>
          <t>ردیف</t>
        </is>
      </c>
      <c r="B3" s="4" t="inlineStr">
        <is>
          <t>کد مشتری</t>
        </is>
      </c>
      <c r="C3" s="4" t="inlineStr">
        <is>
          <t>کد ملی صادرکننده</t>
        </is>
      </c>
      <c r="D3" s="4" t="inlineStr">
        <is>
          <t>نام و نام خانوادگی صادرکننده</t>
        </is>
      </c>
      <c r="E3" s="4" t="inlineStr">
        <is>
          <t>وضعیت هویت</t>
        </is>
      </c>
      <c r="F3" s="4" t="inlineStr">
        <is>
          <t>رنگ اعتباری</t>
        </is>
      </c>
      <c r="G3" s="4" t="inlineStr">
        <is>
          <t>تعداد چک در صندوق</t>
        </is>
      </c>
      <c r="H3" s="4" t="inlineStr">
        <is>
          <t>مجموع مبلغ چک‌های صندوق (ریال)</t>
        </is>
      </c>
      <c r="I3" s="4" t="inlineStr">
        <is>
          <t>سهم از صندوق</t>
        </is>
      </c>
      <c r="J3" s="4" t="inlineStr">
        <is>
          <t>مبلغ چک‌های در راه بانکی (ریال)</t>
        </is>
      </c>
      <c r="K3" s="4" t="inlineStr">
        <is>
          <t>مبلغ چک‌های برگشتی بانکی (ریال)</t>
        </is>
      </c>
      <c r="L3" s="4" t="inlineStr">
        <is>
          <t>مبلغ رفع سوءاثر بانکی (ریال)</t>
        </is>
      </c>
      <c r="M3" s="4" t="inlineStr">
        <is>
          <t>رده پایداری</t>
        </is>
      </c>
      <c r="N3" s="4" t="inlineStr">
        <is>
          <t>تعداد دوره‌های برگشتی</t>
        </is>
      </c>
      <c r="O3" s="4" t="inlineStr">
        <is>
          <t>نمره خام ریسک</t>
        </is>
      </c>
      <c r="P3" s="4" t="inlineStr">
        <is>
          <t>کف اعمال‌شده</t>
        </is>
      </c>
      <c r="Q3" s="4" t="inlineStr">
        <is>
          <t>امتیاز نهایی ریسک</t>
        </is>
      </c>
      <c r="R3" s="4" t="inlineStr">
        <is>
          <t>طبقه ریسک</t>
        </is>
      </c>
      <c r="S3" s="4" t="inlineStr">
        <is>
          <t>تصمیم اعتباری سامانه‌ای</t>
        </is>
      </c>
    </row>
    <row r="4">
      <c r="A4" s="7" t="n">
        <v>1</v>
      </c>
      <c r="B4" s="7" t="n">
        <v>2</v>
      </c>
      <c r="C4" s="52" t="inlineStr">
        <is>
          <t>0933387075</t>
        </is>
      </c>
      <c r="D4" s="8" t="inlineStr">
        <is>
          <t>حسین حشمتی</t>
        </is>
      </c>
      <c r="E4" s="8" t="inlineStr">
        <is>
          <t>VERIFIED</t>
        </is>
      </c>
      <c r="F4" s="7" t="inlineStr">
        <is>
          <t>قرمز</t>
        </is>
      </c>
      <c r="G4" s="8" t="n">
        <v>1</v>
      </c>
      <c r="H4" s="13" t="n">
        <v>1060000000</v>
      </c>
      <c r="I4" s="53" t="n">
        <v>0.002209691372822881</v>
      </c>
      <c r="J4" s="13" t="n">
        <v>2500000000</v>
      </c>
      <c r="K4" s="13" t="n">
        <v>56960000000</v>
      </c>
      <c r="L4" s="13" t="n">
        <v>0</v>
      </c>
      <c r="M4" s="7" t="inlineStr">
        <is>
          <t>NEW</t>
        </is>
      </c>
      <c r="N4" s="7" t="n">
        <v>2</v>
      </c>
      <c r="O4" s="16" t="n">
        <v>50.77</v>
      </c>
      <c r="P4" s="7" t="n">
        <v>85</v>
      </c>
      <c r="Q4" s="16" t="n">
        <v>85</v>
      </c>
      <c r="R4" s="60" t="inlineStr">
        <is>
          <t>اقدام فوری</t>
        </is>
      </c>
      <c r="S4" s="8" t="inlineStr">
        <is>
          <t>مسدودسازی کامل تسهیلات، مطالبه وثیقه ملکی/نقدی، اقدام حقوقی و وصول آنی.</t>
        </is>
      </c>
    </row>
    <row r="5">
      <c r="A5" s="11" t="n">
        <v>2</v>
      </c>
      <c r="B5" s="11" t="n">
        <v>3</v>
      </c>
      <c r="C5" s="49" t="inlineStr">
        <is>
          <t>0922236992</t>
        </is>
      </c>
      <c r="D5" s="12" t="inlineStr">
        <is>
          <t>محمد ضیافتی مالدار</t>
        </is>
      </c>
      <c r="E5" s="12" t="inlineStr">
        <is>
          <t>VERIFIED</t>
        </is>
      </c>
      <c r="F5" s="11" t="inlineStr">
        <is>
          <t>قرمز</t>
        </is>
      </c>
      <c r="G5" s="12" t="n">
        <v>8</v>
      </c>
      <c r="H5" s="14" t="n">
        <v>53520000000</v>
      </c>
      <c r="I5" s="50" t="n">
        <v>0.1115685681825288</v>
      </c>
      <c r="J5" s="14" t="n">
        <v>1144807000000</v>
      </c>
      <c r="K5" s="14" t="n">
        <v>19160000000</v>
      </c>
      <c r="L5" s="14" t="n">
        <v>305078252000</v>
      </c>
      <c r="M5" s="11" t="inlineStr">
        <is>
          <t>CHRONIC</t>
        </is>
      </c>
      <c r="N5" s="11" t="n">
        <v>10</v>
      </c>
      <c r="O5" s="61" t="n">
        <v>31.74</v>
      </c>
      <c r="P5" s="11" t="n">
        <v>72</v>
      </c>
      <c r="Q5" s="61" t="n">
        <v>72</v>
      </c>
      <c r="R5" s="62" t="inlineStr">
        <is>
          <t>پرریسک</t>
        </is>
      </c>
      <c r="S5" s="12" t="inlineStr">
        <is>
          <t>مسدودسازی سقف تسهیلات، اخذ وثیقه ملکی/نقدی، پایش فشرده و کاهش تعهدات.</t>
        </is>
      </c>
    </row>
    <row r="6">
      <c r="A6" s="7" t="n">
        <v>3</v>
      </c>
      <c r="B6" s="7" t="n">
        <v>4</v>
      </c>
      <c r="C6" s="52" t="inlineStr">
        <is>
          <t>6510002647</t>
        </is>
      </c>
      <c r="D6" s="8" t="inlineStr">
        <is>
          <t>سیدجمال موسوی علی آبادی</t>
        </is>
      </c>
      <c r="E6" s="8" t="inlineStr">
        <is>
          <t>VERIFIED</t>
        </is>
      </c>
      <c r="F6" s="7" t="inlineStr">
        <is>
          <t>قرمز</t>
        </is>
      </c>
      <c r="G6" s="8" t="n">
        <v>2</v>
      </c>
      <c r="H6" s="13" t="n">
        <v>3000000000</v>
      </c>
      <c r="I6" s="53" t="n">
        <v>0.006253843507989285</v>
      </c>
      <c r="J6" s="13" t="n">
        <v>35090000000</v>
      </c>
      <c r="K6" s="13" t="n">
        <v>2800000000</v>
      </c>
      <c r="L6" s="13" t="n">
        <v>14938000000</v>
      </c>
      <c r="M6" s="7" t="inlineStr">
        <is>
          <t>CHRONIC</t>
        </is>
      </c>
      <c r="N6" s="7" t="n">
        <v>6</v>
      </c>
      <c r="O6" s="16" t="n">
        <v>20.87</v>
      </c>
      <c r="P6" s="7" t="n">
        <v>45</v>
      </c>
      <c r="Q6" s="16" t="n">
        <v>45</v>
      </c>
      <c r="R6" s="63" t="inlineStr">
        <is>
          <t>مراقبت</t>
        </is>
      </c>
      <c r="S6" s="8" t="inlineStr">
        <is>
          <t>داده تاریخی؛ مسدودسازی سقف تسهیلات و پایش روزانه تا دریافت استعلام معتبر جدید.</t>
        </is>
      </c>
    </row>
    <row r="7">
      <c r="A7" s="11" t="n">
        <v>4</v>
      </c>
      <c r="B7" s="11" t="n">
        <v>5</v>
      </c>
      <c r="C7" s="49" t="inlineStr">
        <is>
          <t>0941987231</t>
        </is>
      </c>
      <c r="D7" s="12" t="inlineStr">
        <is>
          <t>ابوالفضل شافعی</t>
        </is>
      </c>
      <c r="E7" s="12" t="inlineStr">
        <is>
          <t>VERIFIED</t>
        </is>
      </c>
      <c r="F7" s="11" t="inlineStr">
        <is>
          <t>قرمز</t>
        </is>
      </c>
      <c r="G7" s="12" t="n">
        <v>1</v>
      </c>
      <c r="H7" s="14" t="n">
        <v>7500000000</v>
      </c>
      <c r="I7" s="50" t="n">
        <v>0.01563460876997321</v>
      </c>
      <c r="J7" s="14" t="n">
        <v>46230000000</v>
      </c>
      <c r="K7" s="14" t="n">
        <v>12800000000</v>
      </c>
      <c r="L7" s="14" t="n">
        <v>18135000000</v>
      </c>
      <c r="M7" s="11" t="inlineStr">
        <is>
          <t>CHRONIC</t>
        </is>
      </c>
      <c r="N7" s="11" t="n">
        <v>10</v>
      </c>
      <c r="O7" s="61" t="n">
        <v>46.62</v>
      </c>
      <c r="P7" s="11" t="n">
        <v>72</v>
      </c>
      <c r="Q7" s="61" t="n">
        <v>72</v>
      </c>
      <c r="R7" s="62" t="inlineStr">
        <is>
          <t>پرریسک</t>
        </is>
      </c>
      <c r="S7" s="12" t="inlineStr">
        <is>
          <t>مسدودسازی سقف تسهیلات، اخذ وثیقه ملکی/نقدی، پایش فشرده و کاهش تعهدات.</t>
        </is>
      </c>
    </row>
    <row r="8">
      <c r="A8" s="7" t="n">
        <v>5</v>
      </c>
      <c r="B8" s="7" t="n">
        <v>6</v>
      </c>
      <c r="C8" s="52" t="inlineStr">
        <is>
          <t>0860010198</t>
        </is>
      </c>
      <c r="D8" s="8" t="inlineStr">
        <is>
          <t>جواد همتی</t>
        </is>
      </c>
      <c r="E8" s="8" t="inlineStr">
        <is>
          <t>VERIFIED</t>
        </is>
      </c>
      <c r="F8" s="7" t="inlineStr">
        <is>
          <t>سفید</t>
        </is>
      </c>
      <c r="G8" s="8" t="n">
        <v>1</v>
      </c>
      <c r="H8" s="13" t="n">
        <v>9400000000</v>
      </c>
      <c r="I8" s="53" t="n">
        <v>0.01959537632503309</v>
      </c>
      <c r="J8" s="13" t="n">
        <v>17878097081</v>
      </c>
      <c r="K8" s="13" t="n">
        <v>0</v>
      </c>
      <c r="L8" s="13" t="n">
        <v>6960472000</v>
      </c>
      <c r="M8" s="7" t="inlineStr">
        <is>
          <t>CLEAN</t>
        </is>
      </c>
      <c r="N8" s="7" t="n">
        <v>0</v>
      </c>
      <c r="O8" s="16" t="n">
        <v>0.16</v>
      </c>
      <c r="P8" s="7" t="inlineStr">
        <is>
          <t>-</t>
        </is>
      </c>
      <c r="Q8" s="16" t="n">
        <v>0.16</v>
      </c>
      <c r="R8" s="64" t="inlineStr">
        <is>
          <t>کم‌ریسک</t>
        </is>
      </c>
      <c r="S8" s="8" t="inlineStr">
        <is>
          <t>پذیرش چک روال عادی و ادامه تعامل در سقف مصوب.</t>
        </is>
      </c>
    </row>
    <row r="9">
      <c r="A9" s="11" t="n">
        <v>6</v>
      </c>
      <c r="B9" s="11" t="n">
        <v>7</v>
      </c>
      <c r="C9" s="49" t="inlineStr">
        <is>
          <t>6510019418</t>
        </is>
      </c>
      <c r="D9" s="12" t="inlineStr">
        <is>
          <t>محمد طاهری</t>
        </is>
      </c>
      <c r="E9" s="12" t="inlineStr">
        <is>
          <t>VERIFIED</t>
        </is>
      </c>
      <c r="F9" s="11" t="inlineStr">
        <is>
          <t>سفید</t>
        </is>
      </c>
      <c r="G9" s="12" t="n">
        <v>1</v>
      </c>
      <c r="H9" s="14" t="n">
        <v>6000000000</v>
      </c>
      <c r="I9" s="50" t="n">
        <v>0.01250768701597857</v>
      </c>
      <c r="J9" s="14" t="n">
        <v>145073541953</v>
      </c>
      <c r="K9" s="14" t="n">
        <v>0</v>
      </c>
      <c r="L9" s="14" t="n">
        <v>62716596171</v>
      </c>
      <c r="M9" s="11" t="inlineStr">
        <is>
          <t>CLEAN</t>
        </is>
      </c>
      <c r="N9" s="11" t="n">
        <v>0</v>
      </c>
      <c r="O9" s="61" t="n">
        <v>0</v>
      </c>
      <c r="P9" s="11" t="inlineStr">
        <is>
          <t>-</t>
        </is>
      </c>
      <c r="Q9" s="61" t="n">
        <v>0</v>
      </c>
      <c r="R9" s="64" t="inlineStr">
        <is>
          <t>کم‌ریسک</t>
        </is>
      </c>
      <c r="S9" s="12" t="inlineStr">
        <is>
          <t>پذیرش چک روال عادی و ادامه تعامل در سقف مصوب.</t>
        </is>
      </c>
    </row>
    <row r="10">
      <c r="A10" s="7" t="n">
        <v>7</v>
      </c>
      <c r="B10" s="7" t="n">
        <v>8</v>
      </c>
      <c r="C10" s="52" t="inlineStr">
        <is>
          <t>0946492190</t>
        </is>
      </c>
      <c r="D10" s="8" t="inlineStr">
        <is>
          <t>علیرضا یعقوبی</t>
        </is>
      </c>
      <c r="E10" s="8" t="inlineStr">
        <is>
          <t>VERIFIED</t>
        </is>
      </c>
      <c r="F10" s="7" t="inlineStr">
        <is>
          <t>سفید</t>
        </is>
      </c>
      <c r="G10" s="8" t="n">
        <v>1</v>
      </c>
      <c r="H10" s="13" t="n">
        <v>1740000000</v>
      </c>
      <c r="I10" s="53" t="n">
        <v>0.003627229234633786</v>
      </c>
      <c r="J10" s="13" t="n">
        <v>26680000000</v>
      </c>
      <c r="K10" s="13" t="n">
        <v>0</v>
      </c>
      <c r="L10" s="13" t="n">
        <v>37000000</v>
      </c>
      <c r="M10" s="7" t="inlineStr">
        <is>
          <t>CLEAN</t>
        </is>
      </c>
      <c r="N10" s="7" t="n">
        <v>0</v>
      </c>
      <c r="O10" s="16" t="n">
        <v>0</v>
      </c>
      <c r="P10" s="7" t="inlineStr">
        <is>
          <t>-</t>
        </is>
      </c>
      <c r="Q10" s="16" t="n">
        <v>0</v>
      </c>
      <c r="R10" s="64" t="inlineStr">
        <is>
          <t>کم‌ریسک</t>
        </is>
      </c>
      <c r="S10" s="8" t="inlineStr">
        <is>
          <t>پذیرش چک روال عادی و ادامه تعامل در سقف مصوب.</t>
        </is>
      </c>
    </row>
    <row r="11">
      <c r="A11" s="11" t="n">
        <v>8</v>
      </c>
      <c r="B11" s="11" t="n">
        <v>9</v>
      </c>
      <c r="C11" s="49" t="inlineStr">
        <is>
          <t>0942904257</t>
        </is>
      </c>
      <c r="D11" s="12" t="inlineStr">
        <is>
          <t>مرتضی پیروزیان</t>
        </is>
      </c>
      <c r="E11" s="12" t="inlineStr">
        <is>
          <t>VERIFIED</t>
        </is>
      </c>
      <c r="F11" s="11" t="inlineStr">
        <is>
          <t>سفید</t>
        </is>
      </c>
      <c r="G11" s="12" t="n">
        <v>6</v>
      </c>
      <c r="H11" s="14" t="n">
        <v>6000000000</v>
      </c>
      <c r="I11" s="50" t="n">
        <v>0.01250768701597857</v>
      </c>
      <c r="J11" s="14" t="n">
        <v>20290000000</v>
      </c>
      <c r="K11" s="14" t="n">
        <v>0</v>
      </c>
      <c r="L11" s="14" t="n">
        <v>2605000000</v>
      </c>
      <c r="M11" s="11" t="inlineStr">
        <is>
          <t>CLEAN</t>
        </is>
      </c>
      <c r="N11" s="11" t="n">
        <v>0</v>
      </c>
      <c r="O11" s="61" t="n">
        <v>0</v>
      </c>
      <c r="P11" s="11" t="inlineStr">
        <is>
          <t>-</t>
        </is>
      </c>
      <c r="Q11" s="61" t="n">
        <v>0</v>
      </c>
      <c r="R11" s="64" t="inlineStr">
        <is>
          <t>کم‌ریسک</t>
        </is>
      </c>
      <c r="S11" s="12" t="inlineStr">
        <is>
          <t>پذیرش چک روال عادی و ادامه تعامل در سقف مصوب.</t>
        </is>
      </c>
    </row>
    <row r="12">
      <c r="A12" s="7" t="n">
        <v>9</v>
      </c>
      <c r="B12" s="7" t="n">
        <v>10</v>
      </c>
      <c r="C12" s="52" t="inlineStr">
        <is>
          <t>2298907366</t>
        </is>
      </c>
      <c r="D12" s="8" t="inlineStr">
        <is>
          <t>عطاری یدالله</t>
        </is>
      </c>
      <c r="E12" s="8" t="inlineStr">
        <is>
          <t>VERIFIED</t>
        </is>
      </c>
      <c r="F12" s="7" t="inlineStr">
        <is>
          <t>سفید</t>
        </is>
      </c>
      <c r="G12" s="8" t="n">
        <v>12</v>
      </c>
      <c r="H12" s="13" t="n">
        <v>24000000000</v>
      </c>
      <c r="I12" s="53" t="n">
        <v>0.05003074806391428</v>
      </c>
      <c r="J12" s="13" t="n">
        <v>28000000000</v>
      </c>
      <c r="K12" s="13" t="n">
        <v>0</v>
      </c>
      <c r="L12" s="13" t="n">
        <v>240000000</v>
      </c>
      <c r="M12" s="7" t="inlineStr">
        <is>
          <t>CLEAN</t>
        </is>
      </c>
      <c r="N12" s="7" t="n">
        <v>0</v>
      </c>
      <c r="O12" s="16" t="n">
        <v>2.33</v>
      </c>
      <c r="P12" s="7" t="inlineStr">
        <is>
          <t>-</t>
        </is>
      </c>
      <c r="Q12" s="16" t="n">
        <v>2.33</v>
      </c>
      <c r="R12" s="64" t="inlineStr">
        <is>
          <t>کم‌ریسک</t>
        </is>
      </c>
      <c r="S12" s="8" t="inlineStr">
        <is>
          <t>پذیرش چک روال عادی و ادامه تعامل در سقف مصوب.</t>
        </is>
      </c>
    </row>
    <row r="13">
      <c r="A13" s="11" t="n">
        <v>10</v>
      </c>
      <c r="B13" s="11" t="n">
        <v>11</v>
      </c>
      <c r="C13" s="49" t="inlineStr">
        <is>
          <t>0941314121</t>
        </is>
      </c>
      <c r="D13" s="12" t="inlineStr">
        <is>
          <t>جواد غفوریان قالی باف</t>
        </is>
      </c>
      <c r="E13" s="12" t="inlineStr">
        <is>
          <t>VERIFIED</t>
        </is>
      </c>
      <c r="F13" s="11" t="inlineStr">
        <is>
          <t>سفید</t>
        </is>
      </c>
      <c r="G13" s="12" t="n">
        <v>7</v>
      </c>
      <c r="H13" s="14" t="n">
        <v>7000000000</v>
      </c>
      <c r="I13" s="50" t="n">
        <v>0.01459230151864166</v>
      </c>
      <c r="J13" s="14" t="n">
        <v>28682000000</v>
      </c>
      <c r="K13" s="14" t="n">
        <v>0</v>
      </c>
      <c r="L13" s="14" t="n">
        <v>14295000000</v>
      </c>
      <c r="M13" s="11" t="inlineStr">
        <is>
          <t>INTERMITTENT</t>
        </is>
      </c>
      <c r="N13" s="11" t="n">
        <v>3</v>
      </c>
      <c r="O13" s="61" t="n">
        <v>0</v>
      </c>
      <c r="P13" s="11" t="n">
        <v>45</v>
      </c>
      <c r="Q13" s="61" t="n">
        <v>45</v>
      </c>
      <c r="R13" s="63" t="inlineStr">
        <is>
          <t>مراقبت</t>
        </is>
      </c>
      <c r="S13" s="12" t="inlineStr">
        <is>
          <t>رفع سوءاثر کامل ثبت شد؛ دوره گذار پایش و پایش روزانه. هرگونه ارتقای سقف تا تأیید دوره‌های بعدی ممنوع است.</t>
        </is>
      </c>
    </row>
    <row r="14">
      <c r="A14" s="7" t="n">
        <v>11</v>
      </c>
      <c r="B14" s="7" t="n">
        <v>12</v>
      </c>
      <c r="C14" s="52" t="inlineStr">
        <is>
          <t>5228890297</t>
        </is>
      </c>
      <c r="D14" s="8" t="inlineStr">
        <is>
          <t>طاهره حسنی</t>
        </is>
      </c>
      <c r="E14" s="8" t="inlineStr">
        <is>
          <t>VERIFIED</t>
        </is>
      </c>
      <c r="F14" s="7" t="inlineStr">
        <is>
          <t>سفید</t>
        </is>
      </c>
      <c r="G14" s="8" t="n">
        <v>5</v>
      </c>
      <c r="H14" s="13" t="n">
        <v>15500000000</v>
      </c>
      <c r="I14" s="53" t="n">
        <v>0.03231152479127797</v>
      </c>
      <c r="J14" s="13" t="n">
        <v>145613735000</v>
      </c>
      <c r="K14" s="13" t="n">
        <v>0</v>
      </c>
      <c r="L14" s="13" t="n">
        <v>59466770010</v>
      </c>
      <c r="M14" s="7" t="inlineStr">
        <is>
          <t>CLEAN</t>
        </is>
      </c>
      <c r="N14" s="7" t="n">
        <v>0</v>
      </c>
      <c r="O14" s="16" t="n">
        <v>0</v>
      </c>
      <c r="P14" s="7" t="inlineStr">
        <is>
          <t>-</t>
        </is>
      </c>
      <c r="Q14" s="16" t="n">
        <v>0</v>
      </c>
      <c r="R14" s="64" t="inlineStr">
        <is>
          <t>کم‌ریسک</t>
        </is>
      </c>
      <c r="S14" s="8" t="inlineStr">
        <is>
          <t>پذیرش چک روال عادی و ادامه تعامل در سقف مصوب.</t>
        </is>
      </c>
    </row>
    <row r="15">
      <c r="A15" s="11" t="n">
        <v>12</v>
      </c>
      <c r="B15" s="11" t="n">
        <v>13</v>
      </c>
      <c r="C15" s="49" t="inlineStr">
        <is>
          <t>2110152184</t>
        </is>
      </c>
      <c r="D15" s="12" t="inlineStr">
        <is>
          <t>فرهنگ نیا مهزیار</t>
        </is>
      </c>
      <c r="E15" s="12" t="inlineStr">
        <is>
          <t>VERIFIED</t>
        </is>
      </c>
      <c r="F15" s="11" t="inlineStr">
        <is>
          <t>سفید</t>
        </is>
      </c>
      <c r="G15" s="12" t="n">
        <v>1</v>
      </c>
      <c r="H15" s="14" t="n">
        <v>895000000</v>
      </c>
      <c r="I15" s="50" t="n">
        <v>0.00186572997988347</v>
      </c>
      <c r="J15" s="14" t="n">
        <v>191578500000</v>
      </c>
      <c r="K15" s="14" t="n">
        <v>0</v>
      </c>
      <c r="L15" s="14" t="n">
        <v>3548318000</v>
      </c>
      <c r="M15" s="11" t="inlineStr">
        <is>
          <t>CLEAN</t>
        </is>
      </c>
      <c r="N15" s="11" t="n">
        <v>0</v>
      </c>
      <c r="O15" s="61" t="n">
        <v>0</v>
      </c>
      <c r="P15" s="11" t="inlineStr">
        <is>
          <t>-</t>
        </is>
      </c>
      <c r="Q15" s="61" t="n">
        <v>0</v>
      </c>
      <c r="R15" s="64" t="inlineStr">
        <is>
          <t>کم‌ریسک</t>
        </is>
      </c>
      <c r="S15" s="12" t="inlineStr">
        <is>
          <t>پذیرش چک روال عادی و ادامه تعامل در سقف مصوب.</t>
        </is>
      </c>
    </row>
    <row r="16">
      <c r="A16" s="7" t="n">
        <v>13</v>
      </c>
      <c r="B16" s="7" t="n">
        <v>14</v>
      </c>
      <c r="C16" s="52" t="inlineStr">
        <is>
          <t>0920541526</t>
        </is>
      </c>
      <c r="D16" s="8" t="inlineStr">
        <is>
          <t>عقیل نرمکی</t>
        </is>
      </c>
      <c r="E16" s="8" t="inlineStr">
        <is>
          <t>VERIFIED</t>
        </is>
      </c>
      <c r="F16" s="7" t="inlineStr">
        <is>
          <t>سفید</t>
        </is>
      </c>
      <c r="G16" s="8" t="n">
        <v>4</v>
      </c>
      <c r="H16" s="13" t="n">
        <v>4640000000</v>
      </c>
      <c r="I16" s="53" t="n">
        <v>0.009672611292356761</v>
      </c>
      <c r="J16" s="13" t="n">
        <v>61089499998</v>
      </c>
      <c r="K16" s="13" t="n">
        <v>0</v>
      </c>
      <c r="L16" s="13" t="n">
        <v>1018900000</v>
      </c>
      <c r="M16" s="7" t="inlineStr">
        <is>
          <t>CLEAN</t>
        </is>
      </c>
      <c r="N16" s="7" t="n">
        <v>0</v>
      </c>
      <c r="O16" s="16" t="n">
        <v>0.04</v>
      </c>
      <c r="P16" s="7" t="inlineStr">
        <is>
          <t>-</t>
        </is>
      </c>
      <c r="Q16" s="16" t="n">
        <v>0.04</v>
      </c>
      <c r="R16" s="64" t="inlineStr">
        <is>
          <t>کم‌ریسک</t>
        </is>
      </c>
      <c r="S16" s="8" t="inlineStr">
        <is>
          <t>پذیرش چک روال عادی و ادامه تعامل در سقف مصوب.</t>
        </is>
      </c>
    </row>
    <row r="17">
      <c r="A17" s="11" t="n">
        <v>14</v>
      </c>
      <c r="B17" s="11" t="n">
        <v>16</v>
      </c>
      <c r="C17" s="49" t="inlineStr">
        <is>
          <t>0860270361</t>
        </is>
      </c>
      <c r="D17" s="12" t="inlineStr">
        <is>
          <t>احمد زحمتکش باجگیران</t>
        </is>
      </c>
      <c r="E17" s="12" t="inlineStr">
        <is>
          <t>VERIFIED</t>
        </is>
      </c>
      <c r="F17" s="11" t="inlineStr">
        <is>
          <t>قرمز</t>
        </is>
      </c>
      <c r="G17" s="12" t="n">
        <v>3</v>
      </c>
      <c r="H17" s="14" t="n">
        <v>4200000000</v>
      </c>
      <c r="I17" s="50" t="n">
        <v>0.008755380911184999</v>
      </c>
      <c r="J17" s="14" t="n">
        <v>135058325000</v>
      </c>
      <c r="K17" s="14" t="n">
        <v>11550000000</v>
      </c>
      <c r="L17" s="14" t="n">
        <v>5534728000</v>
      </c>
      <c r="M17" s="11" t="inlineStr">
        <is>
          <t>CHRONIC</t>
        </is>
      </c>
      <c r="N17" s="11" t="n">
        <v>10</v>
      </c>
      <c r="O17" s="61" t="n">
        <v>32.39</v>
      </c>
      <c r="P17" s="11" t="n">
        <v>72</v>
      </c>
      <c r="Q17" s="61" t="n">
        <v>72</v>
      </c>
      <c r="R17" s="62" t="inlineStr">
        <is>
          <t>پرریسک</t>
        </is>
      </c>
      <c r="S17" s="12" t="inlineStr">
        <is>
          <t>مسدودسازی سقف تسهیلات، اخذ وثیقه ملکی/نقدی، پایش فشرده و کاهش تعهدات.</t>
        </is>
      </c>
    </row>
    <row r="18">
      <c r="A18" s="7" t="n">
        <v>15</v>
      </c>
      <c r="B18" s="7" t="n">
        <v>17</v>
      </c>
      <c r="C18" s="52" t="inlineStr">
        <is>
          <t>0922030936</t>
        </is>
      </c>
      <c r="D18" s="8" t="inlineStr">
        <is>
          <t>عباس مقنی</t>
        </is>
      </c>
      <c r="E18" s="8" t="inlineStr">
        <is>
          <t>VERIFIED</t>
        </is>
      </c>
      <c r="F18" s="7" t="inlineStr">
        <is>
          <t>سفید</t>
        </is>
      </c>
      <c r="G18" s="8" t="n">
        <v>4</v>
      </c>
      <c r="H18" s="13" t="n">
        <v>42320000000</v>
      </c>
      <c r="I18" s="53" t="n">
        <v>0.08822088575270218</v>
      </c>
      <c r="J18" s="13" t="n">
        <v>224823000000</v>
      </c>
      <c r="K18" s="13" t="n">
        <v>0</v>
      </c>
      <c r="L18" s="13" t="n">
        <v>30402825000</v>
      </c>
      <c r="M18" s="7" t="inlineStr">
        <is>
          <t>NEW</t>
        </is>
      </c>
      <c r="N18" s="7" t="n">
        <v>2</v>
      </c>
      <c r="O18" s="16" t="n">
        <v>7.11</v>
      </c>
      <c r="P18" s="7" t="inlineStr">
        <is>
          <t>-</t>
        </is>
      </c>
      <c r="Q18" s="16" t="n">
        <v>7.11</v>
      </c>
      <c r="R18" s="64" t="inlineStr">
        <is>
          <t>کم‌ریسک</t>
        </is>
      </c>
      <c r="S18" s="8" t="inlineStr">
        <is>
          <t>پذیرش چک روال عادی و ادامه تعامل در سقف مصوب.</t>
        </is>
      </c>
    </row>
    <row r="19">
      <c r="A19" s="11" t="n">
        <v>16</v>
      </c>
      <c r="B19" s="11" t="n">
        <v>18</v>
      </c>
      <c r="C19" s="49" t="inlineStr">
        <is>
          <t>1920394974</t>
        </is>
      </c>
      <c r="D19" s="12" t="inlineStr">
        <is>
          <t>وحید محمدی انور</t>
        </is>
      </c>
      <c r="E19" s="12" t="inlineStr">
        <is>
          <t>VERIFIED</t>
        </is>
      </c>
      <c r="F19" s="11" t="inlineStr">
        <is>
          <t>قرمز</t>
        </is>
      </c>
      <c r="G19" s="12" t="n">
        <v>2</v>
      </c>
      <c r="H19" s="14" t="n">
        <v>7400000000</v>
      </c>
      <c r="I19" s="50" t="n">
        <v>0.0154261473197069</v>
      </c>
      <c r="J19" s="14" t="n">
        <v>12989000000</v>
      </c>
      <c r="K19" s="14" t="n">
        <v>4200000000</v>
      </c>
      <c r="L19" s="14" t="n">
        <v>11807500000</v>
      </c>
      <c r="M19" s="11" t="inlineStr">
        <is>
          <t>CHRONIC</t>
        </is>
      </c>
      <c r="N19" s="11" t="n">
        <v>10</v>
      </c>
      <c r="O19" s="61" t="n">
        <v>52.93</v>
      </c>
      <c r="P19" s="11" t="n">
        <v>45</v>
      </c>
      <c r="Q19" s="61" t="n">
        <v>52.93</v>
      </c>
      <c r="R19" s="63" t="inlineStr">
        <is>
          <t>مراقبت</t>
        </is>
      </c>
      <c r="S19" s="12" t="inlineStr">
        <is>
          <t>رخداد برگشتی جدید (+۳.۷B)؛ انسداد سقف تسهیلات، اخذ وثیقه و پایش روزانه.</t>
        </is>
      </c>
    </row>
    <row r="20">
      <c r="A20" s="7" t="n">
        <v>17</v>
      </c>
      <c r="B20" s="7" t="n">
        <v>19</v>
      </c>
      <c r="C20" s="52" t="inlineStr">
        <is>
          <t>0920630138</t>
        </is>
      </c>
      <c r="D20" s="8" t="inlineStr">
        <is>
          <t>مرتضی موذن</t>
        </is>
      </c>
      <c r="E20" s="8" t="inlineStr">
        <is>
          <t>VERIFIED</t>
        </is>
      </c>
      <c r="F20" s="7" t="inlineStr">
        <is>
          <t>سفید</t>
        </is>
      </c>
      <c r="G20" s="8" t="n">
        <v>12</v>
      </c>
      <c r="H20" s="13" t="n">
        <v>5220000000</v>
      </c>
      <c r="I20" s="53" t="n">
        <v>0.01088168770390136</v>
      </c>
      <c r="J20" s="13" t="n">
        <v>47434500000</v>
      </c>
      <c r="K20" s="13" t="n">
        <v>0</v>
      </c>
      <c r="L20" s="13" t="n">
        <v>890000000</v>
      </c>
      <c r="M20" s="7" t="inlineStr">
        <is>
          <t>CLEAN</t>
        </is>
      </c>
      <c r="N20" s="7" t="n">
        <v>0</v>
      </c>
      <c r="O20" s="16" t="n">
        <v>4.95</v>
      </c>
      <c r="P20" s="7" t="inlineStr">
        <is>
          <t>-</t>
        </is>
      </c>
      <c r="Q20" s="16" t="n">
        <v>4.95</v>
      </c>
      <c r="R20" s="64" t="inlineStr">
        <is>
          <t>کم‌ریسک</t>
        </is>
      </c>
      <c r="S20" s="8" t="inlineStr">
        <is>
          <t>پذیرش چک روال عادی و ادامه تعامل در سقف مصوب.</t>
        </is>
      </c>
    </row>
    <row r="21">
      <c r="A21" s="11" t="n">
        <v>18</v>
      </c>
      <c r="B21" s="11" t="n">
        <v>20</v>
      </c>
      <c r="C21" s="49" t="inlineStr">
        <is>
          <t>0921320711</t>
        </is>
      </c>
      <c r="D21" s="12" t="inlineStr">
        <is>
          <t>وحید اشرافیان</t>
        </is>
      </c>
      <c r="E21" s="12" t="inlineStr">
        <is>
          <t>VERIFIED</t>
        </is>
      </c>
      <c r="F21" s="11" t="inlineStr">
        <is>
          <t>قرمز</t>
        </is>
      </c>
      <c r="G21" s="12" t="n">
        <v>2</v>
      </c>
      <c r="H21" s="14" t="n">
        <v>1465000000</v>
      </c>
      <c r="I21" s="50" t="n">
        <v>0.003053960246401434</v>
      </c>
      <c r="J21" s="14" t="n">
        <v>263677279312</v>
      </c>
      <c r="K21" s="14" t="n">
        <v>6247000000</v>
      </c>
      <c r="L21" s="14" t="n">
        <v>13523000000</v>
      </c>
      <c r="M21" s="11" t="inlineStr">
        <is>
          <t>CHRONIC</t>
        </is>
      </c>
      <c r="N21" s="11" t="n">
        <v>10</v>
      </c>
      <c r="O21" s="61" t="n">
        <v>24.1</v>
      </c>
      <c r="P21" s="11" t="n">
        <v>65</v>
      </c>
      <c r="Q21" s="61" t="n">
        <v>65</v>
      </c>
      <c r="R21" s="62" t="inlineStr">
        <is>
          <t>پرریسک</t>
        </is>
      </c>
      <c r="S21" s="12" t="inlineStr">
        <is>
          <t>بهبود جزئی؛ تثبیت و انسداد سقف، ادامه تضمین و پایش روزانه.</t>
        </is>
      </c>
    </row>
    <row r="22">
      <c r="A22" s="7" t="n">
        <v>19</v>
      </c>
      <c r="B22" s="7" t="n">
        <v>21</v>
      </c>
      <c r="C22" s="52" t="inlineStr">
        <is>
          <t>6430003159</t>
        </is>
      </c>
      <c r="D22" s="8" t="inlineStr">
        <is>
          <t>وحید زوار</t>
        </is>
      </c>
      <c r="E22" s="8" t="inlineStr">
        <is>
          <t>VERIFIED</t>
        </is>
      </c>
      <c r="F22" s="7" t="inlineStr">
        <is>
          <t>قرمز</t>
        </is>
      </c>
      <c r="G22" s="8" t="n">
        <v>5</v>
      </c>
      <c r="H22" s="13" t="n">
        <v>13350000000</v>
      </c>
      <c r="I22" s="53" t="n">
        <v>0.02782960361055232</v>
      </c>
      <c r="J22" s="13" t="n">
        <v>294823500000</v>
      </c>
      <c r="K22" s="13" t="n">
        <v>46080000000</v>
      </c>
      <c r="L22" s="13" t="n">
        <v>152016000000</v>
      </c>
      <c r="M22" s="7" t="inlineStr">
        <is>
          <t>CHRONIC</t>
        </is>
      </c>
      <c r="N22" s="7" t="n">
        <v>10</v>
      </c>
      <c r="O22" s="16" t="n">
        <v>49.89</v>
      </c>
      <c r="P22" s="7" t="n">
        <v>78</v>
      </c>
      <c r="Q22" s="16" t="n">
        <v>78</v>
      </c>
      <c r="R22" s="62" t="inlineStr">
        <is>
          <t>پرریسک</t>
        </is>
      </c>
      <c r="S22" s="8" t="inlineStr">
        <is>
          <t>مسدودسازی سقف تسهیلات، اخذ وثیقه ملکی/نقدی، پایش فشرده و کاهش تعهدات.</t>
        </is>
      </c>
    </row>
    <row r="23">
      <c r="A23" s="11" t="n">
        <v>20</v>
      </c>
      <c r="B23" s="11" t="n">
        <v>22</v>
      </c>
      <c r="C23" s="49" t="inlineStr">
        <is>
          <t>0943162041</t>
        </is>
      </c>
      <c r="D23" s="12" t="inlineStr">
        <is>
          <t>حمید مددی</t>
        </is>
      </c>
      <c r="E23" s="12" t="inlineStr">
        <is>
          <t>VERIFIED</t>
        </is>
      </c>
      <c r="F23" s="11" t="inlineStr">
        <is>
          <t>سفید</t>
        </is>
      </c>
      <c r="G23" s="12" t="n">
        <v>2</v>
      </c>
      <c r="H23" s="14" t="n">
        <v>1990000000</v>
      </c>
      <c r="I23" s="50" t="n">
        <v>0.004148382860299559</v>
      </c>
      <c r="J23" s="14" t="n">
        <v>17294955324</v>
      </c>
      <c r="K23" s="14" t="n">
        <v>0</v>
      </c>
      <c r="L23" s="14" t="n">
        <v>2371300000</v>
      </c>
      <c r="M23" s="11" t="inlineStr">
        <is>
          <t>CLEAN</t>
        </is>
      </c>
      <c r="N23" s="11" t="n">
        <v>0</v>
      </c>
      <c r="O23" s="61" t="n">
        <v>0</v>
      </c>
      <c r="P23" s="11" t="inlineStr">
        <is>
          <t>-</t>
        </is>
      </c>
      <c r="Q23" s="61" t="n">
        <v>0</v>
      </c>
      <c r="R23" s="64" t="inlineStr">
        <is>
          <t>کم‌ریسک</t>
        </is>
      </c>
      <c r="S23" s="12" t="inlineStr">
        <is>
          <t>پذیرش چک روال عادی و ادامه تعامل در سقف مصوب.</t>
        </is>
      </c>
    </row>
    <row r="24">
      <c r="A24" s="7" t="n">
        <v>21</v>
      </c>
      <c r="B24" s="7" t="n">
        <v>23</v>
      </c>
      <c r="C24" s="52" t="inlineStr">
        <is>
          <t>0690489838</t>
        </is>
      </c>
      <c r="D24" s="8" t="inlineStr">
        <is>
          <t>محمد زاهدی آغوی</t>
        </is>
      </c>
      <c r="E24" s="8" t="inlineStr">
        <is>
          <t>VERIFIED</t>
        </is>
      </c>
      <c r="F24" s="7" t="inlineStr">
        <is>
          <t>قرمز</t>
        </is>
      </c>
      <c r="G24" s="8" t="n">
        <v>2</v>
      </c>
      <c r="H24" s="13" t="n">
        <v>8890000000</v>
      </c>
      <c r="I24" s="53" t="n">
        <v>0.01853222292867492</v>
      </c>
      <c r="J24" s="13" t="n">
        <v>59290930000</v>
      </c>
      <c r="K24" s="13" t="n">
        <v>9398000000</v>
      </c>
      <c r="L24" s="13" t="n">
        <v>52840962000</v>
      </c>
      <c r="M24" s="7" t="inlineStr">
        <is>
          <t>CHRONIC</t>
        </is>
      </c>
      <c r="N24" s="7" t="n">
        <v>10</v>
      </c>
      <c r="O24" s="16" t="n">
        <v>28</v>
      </c>
      <c r="P24" s="7" t="n">
        <v>65</v>
      </c>
      <c r="Q24" s="16" t="n">
        <v>65</v>
      </c>
      <c r="R24" s="62" t="inlineStr">
        <is>
          <t>پرریسک</t>
        </is>
      </c>
      <c r="S24" s="8" t="inlineStr">
        <is>
          <t>مسدودسازی سقف تسهیلات، اخذ وثیقه ملکی/نقدی، پایش فشرده و کاهش تعهدات.</t>
        </is>
      </c>
    </row>
    <row r="25">
      <c r="A25" s="11" t="n">
        <v>22</v>
      </c>
      <c r="B25" s="11" t="n">
        <v>25</v>
      </c>
      <c r="C25" s="49" t="inlineStr">
        <is>
          <t>0923318895</t>
        </is>
      </c>
      <c r="D25" s="12" t="inlineStr">
        <is>
          <t>وارسته شهریاران سعید</t>
        </is>
      </c>
      <c r="E25" s="12" t="inlineStr">
        <is>
          <t>VERIFIED</t>
        </is>
      </c>
      <c r="F25" s="11" t="inlineStr">
        <is>
          <t>سفید</t>
        </is>
      </c>
      <c r="G25" s="12" t="n">
        <v>3</v>
      </c>
      <c r="H25" s="14" t="n">
        <v>37350000000</v>
      </c>
      <c r="I25" s="50" t="n">
        <v>0.0778603516744666</v>
      </c>
      <c r="J25" s="14" t="n">
        <v>55660000000</v>
      </c>
      <c r="K25" s="14" t="n">
        <v>0</v>
      </c>
      <c r="L25" s="14" t="n">
        <v>86140000</v>
      </c>
      <c r="M25" s="11" t="inlineStr">
        <is>
          <t>CLEAN</t>
        </is>
      </c>
      <c r="N25" s="11" t="n">
        <v>0</v>
      </c>
      <c r="O25" s="61" t="n">
        <v>3.65</v>
      </c>
      <c r="P25" s="11" t="inlineStr">
        <is>
          <t>-</t>
        </is>
      </c>
      <c r="Q25" s="61" t="n">
        <v>3.65</v>
      </c>
      <c r="R25" s="64" t="inlineStr">
        <is>
          <t>کم‌ریسک</t>
        </is>
      </c>
      <c r="S25" s="12" t="inlineStr">
        <is>
          <t>پذیرش چک روال عادی و ادامه تعامل در سقف مصوب.</t>
        </is>
      </c>
    </row>
    <row r="26">
      <c r="A26" s="7" t="n">
        <v>23</v>
      </c>
      <c r="B26" s="7" t="n">
        <v>26</v>
      </c>
      <c r="C26" s="52" t="inlineStr">
        <is>
          <t>0941876578</t>
        </is>
      </c>
      <c r="D26" s="8" t="inlineStr">
        <is>
          <t>علیرضا ضرغام مقدم</t>
        </is>
      </c>
      <c r="E26" s="8" t="inlineStr">
        <is>
          <t>VERIFIED</t>
        </is>
      </c>
      <c r="F26" s="7" t="inlineStr">
        <is>
          <t>سفید</t>
        </is>
      </c>
      <c r="G26" s="8" t="n">
        <v>1</v>
      </c>
      <c r="H26" s="13" t="n">
        <v>350000000</v>
      </c>
      <c r="I26" s="53" t="n">
        <v>0.0007296150759320833</v>
      </c>
      <c r="J26" s="13" t="n">
        <v>7370540000</v>
      </c>
      <c r="K26" s="13" t="n">
        <v>0</v>
      </c>
      <c r="L26" s="13" t="n">
        <v>781900000</v>
      </c>
      <c r="M26" s="7" t="inlineStr">
        <is>
          <t>CLEAN</t>
        </is>
      </c>
      <c r="N26" s="7" t="n">
        <v>0</v>
      </c>
      <c r="O26" s="16" t="n">
        <v>0</v>
      </c>
      <c r="P26" s="7" t="inlineStr">
        <is>
          <t>-</t>
        </is>
      </c>
      <c r="Q26" s="16" t="n">
        <v>0</v>
      </c>
      <c r="R26" s="64" t="inlineStr">
        <is>
          <t>کم‌ریسک</t>
        </is>
      </c>
      <c r="S26" s="8" t="inlineStr">
        <is>
          <t>پذیرش چک روال عادی و ادامه تعامل در سقف مصوب.</t>
        </is>
      </c>
    </row>
    <row r="27">
      <c r="A27" s="11" t="n">
        <v>24</v>
      </c>
      <c r="B27" s="11" t="n">
        <v>27</v>
      </c>
      <c r="C27" s="49" t="inlineStr">
        <is>
          <t>5220146602</t>
        </is>
      </c>
      <c r="D27" s="12" t="inlineStr">
        <is>
          <t>اسدیان سوهان حمید</t>
        </is>
      </c>
      <c r="E27" s="12" t="inlineStr">
        <is>
          <t>VERIFIED</t>
        </is>
      </c>
      <c r="F27" s="11" t="inlineStr">
        <is>
          <t>سفید</t>
        </is>
      </c>
      <c r="G27" s="12" t="n">
        <v>3</v>
      </c>
      <c r="H27" s="14" t="n">
        <v>6800000000</v>
      </c>
      <c r="I27" s="50" t="n">
        <v>0.01417537861810905</v>
      </c>
      <c r="J27" s="14" t="n">
        <v>50434720000</v>
      </c>
      <c r="K27" s="14" t="n">
        <v>0</v>
      </c>
      <c r="L27" s="14" t="n">
        <v>5332712000</v>
      </c>
      <c r="M27" s="11" t="inlineStr">
        <is>
          <t>CLEAN</t>
        </is>
      </c>
      <c r="N27" s="11" t="n">
        <v>0</v>
      </c>
      <c r="O27" s="61" t="n">
        <v>0</v>
      </c>
      <c r="P27" s="11" t="inlineStr">
        <is>
          <t>-</t>
        </is>
      </c>
      <c r="Q27" s="61" t="n">
        <v>0</v>
      </c>
      <c r="R27" s="64" t="inlineStr">
        <is>
          <t>کم‌ریسک</t>
        </is>
      </c>
      <c r="S27" s="12" t="inlineStr">
        <is>
          <t>پذیرش چک روال عادی و ادامه تعامل در سقف مصوب.</t>
        </is>
      </c>
    </row>
    <row r="28">
      <c r="A28" s="7" t="n">
        <v>25</v>
      </c>
      <c r="B28" s="7" t="n">
        <v>28</v>
      </c>
      <c r="C28" s="52" t="inlineStr">
        <is>
          <t>0922010536</t>
        </is>
      </c>
      <c r="D28" s="8" t="inlineStr">
        <is>
          <t>محمدباقر مشیری</t>
        </is>
      </c>
      <c r="E28" s="8" t="inlineStr">
        <is>
          <t>VERIFIED</t>
        </is>
      </c>
      <c r="F28" s="7" t="inlineStr">
        <is>
          <t>سفید</t>
        </is>
      </c>
      <c r="G28" s="8" t="n">
        <v>5</v>
      </c>
      <c r="H28" s="13" t="n">
        <v>10950000000</v>
      </c>
      <c r="I28" s="53" t="n">
        <v>0.02282652880416089</v>
      </c>
      <c r="J28" s="13" t="n">
        <v>48136400000</v>
      </c>
      <c r="K28" s="13" t="n">
        <v>0</v>
      </c>
      <c r="L28" s="13" t="n">
        <v>35000000</v>
      </c>
      <c r="M28" s="7" t="inlineStr">
        <is>
          <t>CLEAN</t>
        </is>
      </c>
      <c r="N28" s="7" t="n">
        <v>0</v>
      </c>
      <c r="O28" s="16" t="n">
        <v>0</v>
      </c>
      <c r="P28" s="7" t="inlineStr">
        <is>
          <t>-</t>
        </is>
      </c>
      <c r="Q28" s="16" t="n">
        <v>0</v>
      </c>
      <c r="R28" s="64" t="inlineStr">
        <is>
          <t>کم‌ریسک</t>
        </is>
      </c>
      <c r="S28" s="8" t="inlineStr">
        <is>
          <t>پذیرش چک روال عادی و ادامه تعامل در سقف مصوب.</t>
        </is>
      </c>
    </row>
    <row r="29">
      <c r="A29" s="11" t="n">
        <v>26</v>
      </c>
      <c r="B29" s="11" t="n">
        <v>30</v>
      </c>
      <c r="C29" s="49" t="inlineStr">
        <is>
          <t>0010485295</t>
        </is>
      </c>
      <c r="D29" s="12" t="inlineStr">
        <is>
          <t>فرید والی</t>
        </is>
      </c>
      <c r="E29" s="12" t="inlineStr">
        <is>
          <t>VERIFIED</t>
        </is>
      </c>
      <c r="F29" s="11" t="inlineStr">
        <is>
          <t>سفید</t>
        </is>
      </c>
      <c r="G29" s="12" t="n">
        <v>1</v>
      </c>
      <c r="H29" s="14" t="n">
        <v>4000000000</v>
      </c>
      <c r="I29" s="50" t="n">
        <v>0.00833845801065238</v>
      </c>
      <c r="J29" s="14" t="n">
        <v>58720000000</v>
      </c>
      <c r="K29" s="14" t="n">
        <v>0</v>
      </c>
      <c r="L29" s="14" t="n">
        <v>750000000</v>
      </c>
      <c r="M29" s="11" t="inlineStr">
        <is>
          <t>CLEAN</t>
        </is>
      </c>
      <c r="N29" s="11" t="n">
        <v>0</v>
      </c>
      <c r="O29" s="61" t="n">
        <v>1.57</v>
      </c>
      <c r="P29" s="11" t="inlineStr">
        <is>
          <t>-</t>
        </is>
      </c>
      <c r="Q29" s="61" t="n">
        <v>1.57</v>
      </c>
      <c r="R29" s="64" t="inlineStr">
        <is>
          <t>کم‌ریسک</t>
        </is>
      </c>
      <c r="S29" s="12" t="inlineStr">
        <is>
          <t>پذیرش چک روال عادی و ادامه تعامل در سقف مصوب.</t>
        </is>
      </c>
    </row>
    <row r="30">
      <c r="A30" s="7" t="n">
        <v>27</v>
      </c>
      <c r="B30" s="7" t="n">
        <v>31</v>
      </c>
      <c r="C30" s="52" t="inlineStr">
        <is>
          <t>5229804221</t>
        </is>
      </c>
      <c r="D30" s="8" t="inlineStr">
        <is>
          <t>سیدمهدی راستگو</t>
        </is>
      </c>
      <c r="E30" s="8" t="inlineStr">
        <is>
          <t>VERIFIED</t>
        </is>
      </c>
      <c r="F30" s="7" t="inlineStr">
        <is>
          <t>سفید</t>
        </is>
      </c>
      <c r="G30" s="8" t="n">
        <v>4</v>
      </c>
      <c r="H30" s="13" t="n">
        <v>10480000000</v>
      </c>
      <c r="I30" s="53" t="n">
        <v>0.02184675998790924</v>
      </c>
      <c r="J30" s="13" t="n">
        <v>12980000000</v>
      </c>
      <c r="K30" s="13" t="n">
        <v>0</v>
      </c>
      <c r="L30" s="13" t="n">
        <v>0</v>
      </c>
      <c r="M30" s="7" t="inlineStr">
        <is>
          <t>CLEAN</t>
        </is>
      </c>
      <c r="N30" s="7" t="n">
        <v>0</v>
      </c>
      <c r="O30" s="16" t="n">
        <v>0</v>
      </c>
      <c r="P30" s="7" t="inlineStr">
        <is>
          <t>-</t>
        </is>
      </c>
      <c r="Q30" s="16" t="n">
        <v>0</v>
      </c>
      <c r="R30" s="64" t="inlineStr">
        <is>
          <t>کم‌ریسک</t>
        </is>
      </c>
      <c r="S30" s="8" t="inlineStr">
        <is>
          <t>پذیرش چک روال عادی و ادامه تعامل در سقف مصوب.</t>
        </is>
      </c>
    </row>
    <row r="31">
      <c r="A31" s="11" t="n">
        <v>28</v>
      </c>
      <c r="B31" s="11" t="n">
        <v>32</v>
      </c>
      <c r="C31" s="49" t="inlineStr">
        <is>
          <t>6519917109</t>
        </is>
      </c>
      <c r="D31" s="12" t="inlineStr">
        <is>
          <t>ام لیلا کلاه درازی</t>
        </is>
      </c>
      <c r="E31" s="12" t="inlineStr">
        <is>
          <t>VERIFIED</t>
        </is>
      </c>
      <c r="F31" s="11" t="inlineStr">
        <is>
          <t>سفید</t>
        </is>
      </c>
      <c r="G31" s="12" t="n">
        <v>1</v>
      </c>
      <c r="H31" s="14" t="n">
        <v>600000000</v>
      </c>
      <c r="I31" s="50" t="n">
        <v>0.001250768701597857</v>
      </c>
      <c r="J31" s="14" t="n">
        <v>6420000000</v>
      </c>
      <c r="K31" s="14" t="n">
        <v>0</v>
      </c>
      <c r="L31" s="14" t="n">
        <v>0</v>
      </c>
      <c r="M31" s="11" t="inlineStr">
        <is>
          <t>CLEAN</t>
        </is>
      </c>
      <c r="N31" s="11" t="n">
        <v>0</v>
      </c>
      <c r="O31" s="61" t="n">
        <v>0</v>
      </c>
      <c r="P31" s="11" t="inlineStr">
        <is>
          <t>-</t>
        </is>
      </c>
      <c r="Q31" s="61" t="n">
        <v>0</v>
      </c>
      <c r="R31" s="64" t="inlineStr">
        <is>
          <t>کم‌ریسک</t>
        </is>
      </c>
      <c r="S31" s="12" t="inlineStr">
        <is>
          <t>پذیرش چک روال عادی و ادامه تعامل در سقف مصوب.</t>
        </is>
      </c>
    </row>
    <row r="32">
      <c r="A32" s="7" t="n">
        <v>29</v>
      </c>
      <c r="B32" s="7" t="n">
        <v>33</v>
      </c>
      <c r="C32" s="52" t="inlineStr">
        <is>
          <t>0720388619</t>
        </is>
      </c>
      <c r="D32" s="8" t="inlineStr">
        <is>
          <t>افشاری قزقاوه سجاد</t>
        </is>
      </c>
      <c r="E32" s="8" t="inlineStr">
        <is>
          <t>VERIFIED</t>
        </is>
      </c>
      <c r="F32" s="7" t="inlineStr">
        <is>
          <t>سفید</t>
        </is>
      </c>
      <c r="G32" s="8" t="n">
        <v>1</v>
      </c>
      <c r="H32" s="13" t="n">
        <v>320000000</v>
      </c>
      <c r="I32" s="53" t="n">
        <v>0.0006670766408521904</v>
      </c>
      <c r="J32" s="13" t="n">
        <v>28996595380</v>
      </c>
      <c r="K32" s="13" t="n">
        <v>0</v>
      </c>
      <c r="L32" s="13" t="n">
        <v>360000000</v>
      </c>
      <c r="M32" s="7" t="inlineStr">
        <is>
          <t>CLEAN</t>
        </is>
      </c>
      <c r="N32" s="7" t="n">
        <v>0</v>
      </c>
      <c r="O32" s="16" t="n">
        <v>0</v>
      </c>
      <c r="P32" s="7" t="inlineStr">
        <is>
          <t>-</t>
        </is>
      </c>
      <c r="Q32" s="16" t="n">
        <v>0</v>
      </c>
      <c r="R32" s="64" t="inlineStr">
        <is>
          <t>کم‌ریسک</t>
        </is>
      </c>
      <c r="S32" s="8" t="inlineStr">
        <is>
          <t>پذیرش چک روال عادی و ادامه تعامل در سقف مصوب.</t>
        </is>
      </c>
    </row>
    <row r="33">
      <c r="A33" s="11" t="n">
        <v>30</v>
      </c>
      <c r="B33" s="11" t="n">
        <v>34</v>
      </c>
      <c r="C33" s="49" t="inlineStr">
        <is>
          <t>0681855436</t>
        </is>
      </c>
      <c r="D33" s="12" t="inlineStr">
        <is>
          <t>امین داوری</t>
        </is>
      </c>
      <c r="E33" s="12" t="inlineStr">
        <is>
          <t>VERIFIED</t>
        </is>
      </c>
      <c r="F33" s="11" t="inlineStr">
        <is>
          <t>سفید</t>
        </is>
      </c>
      <c r="G33" s="12" t="n">
        <v>4</v>
      </c>
      <c r="H33" s="14" t="n">
        <v>5600000000</v>
      </c>
      <c r="I33" s="50" t="n">
        <v>0.01167384121491333</v>
      </c>
      <c r="J33" s="14" t="n">
        <v>97789824945</v>
      </c>
      <c r="K33" s="14" t="n">
        <v>0</v>
      </c>
      <c r="L33" s="14" t="n">
        <v>45367735500</v>
      </c>
      <c r="M33" s="11" t="inlineStr">
        <is>
          <t>CLEAN</t>
        </is>
      </c>
      <c r="N33" s="11" t="n">
        <v>0</v>
      </c>
      <c r="O33" s="61" t="n">
        <v>0</v>
      </c>
      <c r="P33" s="11" t="inlineStr">
        <is>
          <t>-</t>
        </is>
      </c>
      <c r="Q33" s="61" t="n">
        <v>0</v>
      </c>
      <c r="R33" s="64" t="inlineStr">
        <is>
          <t>کم‌ریسک</t>
        </is>
      </c>
      <c r="S33" s="12" t="inlineStr">
        <is>
          <t>پذیرش چک روال عادی و ادامه تعامل در سقف مصوب.</t>
        </is>
      </c>
    </row>
    <row r="34">
      <c r="A34" s="7" t="n">
        <v>31</v>
      </c>
      <c r="B34" s="7" t="n">
        <v>35</v>
      </c>
      <c r="C34" s="52" t="inlineStr">
        <is>
          <t>0780642813</t>
        </is>
      </c>
      <c r="D34" s="8" t="inlineStr">
        <is>
          <t>حامد نهاردانی</t>
        </is>
      </c>
      <c r="E34" s="8" t="inlineStr">
        <is>
          <t>VERIFIED</t>
        </is>
      </c>
      <c r="F34" s="7" t="inlineStr">
        <is>
          <t>سفید</t>
        </is>
      </c>
      <c r="G34" s="8" t="n">
        <v>2</v>
      </c>
      <c r="H34" s="13" t="n">
        <v>2700000000</v>
      </c>
      <c r="I34" s="53" t="n">
        <v>0.005628459157190357</v>
      </c>
      <c r="J34" s="13" t="n">
        <v>172534650000</v>
      </c>
      <c r="K34" s="13" t="n">
        <v>0</v>
      </c>
      <c r="L34" s="13" t="n">
        <v>75010839287</v>
      </c>
      <c r="M34" s="7" t="inlineStr">
        <is>
          <t>INTERMITTENT</t>
        </is>
      </c>
      <c r="N34" s="7" t="n">
        <v>3</v>
      </c>
      <c r="O34" s="16" t="n">
        <v>10</v>
      </c>
      <c r="P34" s="7" t="inlineStr">
        <is>
          <t>-</t>
        </is>
      </c>
      <c r="Q34" s="16" t="n">
        <v>10</v>
      </c>
      <c r="R34" s="64" t="inlineStr">
        <is>
          <t>کم‌ریسک</t>
        </is>
      </c>
      <c r="S34" s="8" t="inlineStr">
        <is>
          <t>پذیرش چک روال عادی و ادامه تعامل در سقف مصوب.</t>
        </is>
      </c>
    </row>
    <row r="35">
      <c r="A35" s="11" t="n">
        <v>32</v>
      </c>
      <c r="B35" s="11" t="n">
        <v>36</v>
      </c>
      <c r="C35" s="49" t="inlineStr">
        <is>
          <t>0924020865</t>
        </is>
      </c>
      <c r="D35" s="12" t="inlineStr">
        <is>
          <t>محمدجواد وفادار عیدگاهی</t>
        </is>
      </c>
      <c r="E35" s="12" t="inlineStr">
        <is>
          <t>VERIFIED</t>
        </is>
      </c>
      <c r="F35" s="11" t="inlineStr">
        <is>
          <t>قرمز</t>
        </is>
      </c>
      <c r="G35" s="12" t="n">
        <v>4</v>
      </c>
      <c r="H35" s="14" t="n">
        <v>5520000000</v>
      </c>
      <c r="I35" s="50" t="n">
        <v>0.01150707205470028</v>
      </c>
      <c r="J35" s="14" t="n">
        <v>91680000000</v>
      </c>
      <c r="K35" s="14" t="n">
        <v>21630000000</v>
      </c>
      <c r="L35" s="14" t="n">
        <v>43715000000</v>
      </c>
      <c r="M35" s="11" t="inlineStr">
        <is>
          <t>CHRONIC</t>
        </is>
      </c>
      <c r="N35" s="11" t="n">
        <v>10</v>
      </c>
      <c r="O35" s="61" t="n">
        <v>36.32</v>
      </c>
      <c r="P35" s="11" t="n">
        <v>78</v>
      </c>
      <c r="Q35" s="61" t="n">
        <v>78</v>
      </c>
      <c r="R35" s="62" t="inlineStr">
        <is>
          <t>پرریسک</t>
        </is>
      </c>
      <c r="S35" s="12" t="inlineStr">
        <is>
          <t>مسدودسازی سقف تسهیلات، اخذ وثیقه ملکی/نقدی، پایش فشرده و کاهش تعهدات.</t>
        </is>
      </c>
    </row>
    <row r="36">
      <c r="A36" s="7" t="n">
        <v>33</v>
      </c>
      <c r="B36" s="7" t="n">
        <v>37</v>
      </c>
      <c r="C36" s="52" t="inlineStr">
        <is>
          <t>0880141281</t>
        </is>
      </c>
      <c r="D36" s="8" t="inlineStr">
        <is>
          <t>محمد ابراهیمی دشت بیاض</t>
        </is>
      </c>
      <c r="E36" s="8" t="inlineStr">
        <is>
          <t>VERIFIED</t>
        </is>
      </c>
      <c r="F36" s="7" t="inlineStr">
        <is>
          <t>سفید</t>
        </is>
      </c>
      <c r="G36" s="8" t="n">
        <v>4</v>
      </c>
      <c r="H36" s="13" t="n">
        <v>1950000000</v>
      </c>
      <c r="I36" s="53" t="n">
        <v>0.004064998280193036</v>
      </c>
      <c r="J36" s="13" t="n">
        <v>101507099414</v>
      </c>
      <c r="K36" s="13" t="n">
        <v>0</v>
      </c>
      <c r="L36" s="13" t="n">
        <v>26820000000</v>
      </c>
      <c r="M36" s="7" t="inlineStr">
        <is>
          <t>CLEAN</t>
        </is>
      </c>
      <c r="N36" s="7" t="n">
        <v>0</v>
      </c>
      <c r="O36" s="16" t="n">
        <v>0.2</v>
      </c>
      <c r="P36" s="7" t="inlineStr">
        <is>
          <t>-</t>
        </is>
      </c>
      <c r="Q36" s="16" t="n">
        <v>0.2</v>
      </c>
      <c r="R36" s="64" t="inlineStr">
        <is>
          <t>کم‌ریسک</t>
        </is>
      </c>
      <c r="S36" s="8" t="inlineStr">
        <is>
          <t>پذیرش چک روال عادی و ادامه تعامل در سقف مصوب.</t>
        </is>
      </c>
    </row>
    <row r="37">
      <c r="A37" s="11" t="n">
        <v>34</v>
      </c>
      <c r="B37" s="11" t="n">
        <v>38</v>
      </c>
      <c r="C37" s="49" t="inlineStr">
        <is>
          <t>0932151930</t>
        </is>
      </c>
      <c r="D37" s="12" t="inlineStr">
        <is>
          <t>ملکه محمدی</t>
        </is>
      </c>
      <c r="E37" s="12" t="inlineStr">
        <is>
          <t>VERIFIED</t>
        </is>
      </c>
      <c r="F37" s="11" t="inlineStr">
        <is>
          <t>سفید</t>
        </is>
      </c>
      <c r="G37" s="12" t="n">
        <v>1</v>
      </c>
      <c r="H37" s="14" t="n">
        <v>935000000</v>
      </c>
      <c r="I37" s="50" t="n">
        <v>0.001949114559989994</v>
      </c>
      <c r="J37" s="14" t="n">
        <v>8350000000</v>
      </c>
      <c r="K37" s="14" t="n">
        <v>0</v>
      </c>
      <c r="L37" s="14" t="n">
        <v>0</v>
      </c>
      <c r="M37" s="11" t="inlineStr">
        <is>
          <t>CLEAN</t>
        </is>
      </c>
      <c r="N37" s="11" t="n">
        <v>0</v>
      </c>
      <c r="O37" s="61" t="n">
        <v>1.14</v>
      </c>
      <c r="P37" s="11" t="inlineStr">
        <is>
          <t>-</t>
        </is>
      </c>
      <c r="Q37" s="61" t="n">
        <v>1.14</v>
      </c>
      <c r="R37" s="64" t="inlineStr">
        <is>
          <t>کم‌ریسک</t>
        </is>
      </c>
      <c r="S37" s="12" t="inlineStr">
        <is>
          <t>پذیرش چک روال عادی و ادامه تعامل در سقف مصوب.</t>
        </is>
      </c>
    </row>
    <row r="38">
      <c r="A38" s="7" t="n">
        <v>35</v>
      </c>
      <c r="B38" s="7" t="n">
        <v>39</v>
      </c>
      <c r="C38" s="52" t="inlineStr">
        <is>
          <t>6439490842</t>
        </is>
      </c>
      <c r="D38" s="8" t="inlineStr">
        <is>
          <t>نصرت شیدا</t>
        </is>
      </c>
      <c r="E38" s="8" t="inlineStr">
        <is>
          <t>VERIFIED</t>
        </is>
      </c>
      <c r="F38" s="7" t="inlineStr">
        <is>
          <t>سفید</t>
        </is>
      </c>
      <c r="G38" s="8" t="n">
        <v>1</v>
      </c>
      <c r="H38" s="13" t="n">
        <v>340000000</v>
      </c>
      <c r="I38" s="53" t="n">
        <v>0.0007087689309054524</v>
      </c>
      <c r="J38" s="13" t="n">
        <v>2430800000</v>
      </c>
      <c r="K38" s="13" t="n">
        <v>0</v>
      </c>
      <c r="L38" s="13" t="n">
        <v>96600000</v>
      </c>
      <c r="M38" s="7" t="inlineStr">
        <is>
          <t>CLEAN</t>
        </is>
      </c>
      <c r="N38" s="7" t="n">
        <v>0</v>
      </c>
      <c r="O38" s="16" t="n">
        <v>0</v>
      </c>
      <c r="P38" s="7" t="inlineStr">
        <is>
          <t>-</t>
        </is>
      </c>
      <c r="Q38" s="16" t="n">
        <v>0</v>
      </c>
      <c r="R38" s="64" t="inlineStr">
        <is>
          <t>کم‌ریسک</t>
        </is>
      </c>
      <c r="S38" s="8" t="inlineStr">
        <is>
          <t>پذیرش چک روال عادی و ادامه تعامل در سقف مصوب.</t>
        </is>
      </c>
    </row>
    <row r="39">
      <c r="A39" s="11" t="n">
        <v>36</v>
      </c>
      <c r="B39" s="11" t="n">
        <v>40</v>
      </c>
      <c r="C39" s="49" t="inlineStr">
        <is>
          <t>0890543331</t>
        </is>
      </c>
      <c r="D39" s="12" t="inlineStr">
        <is>
          <t>محمد رفیق طرقی</t>
        </is>
      </c>
      <c r="E39" s="12" t="inlineStr">
        <is>
          <t>VERIFIED</t>
        </is>
      </c>
      <c r="F39" s="11" t="inlineStr">
        <is>
          <t>قرمز</t>
        </is>
      </c>
      <c r="G39" s="12" t="n">
        <v>1</v>
      </c>
      <c r="H39" s="14" t="n">
        <v>15000000000</v>
      </c>
      <c r="I39" s="50" t="n">
        <v>0.03126921753994642</v>
      </c>
      <c r="J39" s="14" t="n">
        <v>265665000000</v>
      </c>
      <c r="K39" s="14" t="n">
        <v>40300000000</v>
      </c>
      <c r="L39" s="14" t="n">
        <v>81847500000</v>
      </c>
      <c r="M39" s="11" t="inlineStr">
        <is>
          <t>CHRONIC</t>
        </is>
      </c>
      <c r="N39" s="11" t="n">
        <v>10</v>
      </c>
      <c r="O39" s="61" t="n">
        <v>61.38</v>
      </c>
      <c r="P39" s="11" t="n">
        <v>78</v>
      </c>
      <c r="Q39" s="61" t="n">
        <v>78</v>
      </c>
      <c r="R39" s="62" t="inlineStr">
        <is>
          <t>پرریسک</t>
        </is>
      </c>
      <c r="S39" s="12" t="inlineStr">
        <is>
          <t>مسدودسازی سقف تسهیلات، اخذ وثیقه ملکی/نقدی، پایش فشرده و کاهش تعهدات.</t>
        </is>
      </c>
    </row>
    <row r="40">
      <c r="A40" s="7" t="n">
        <v>37</v>
      </c>
      <c r="B40" s="7" t="n">
        <v>41</v>
      </c>
      <c r="C40" s="52" t="inlineStr">
        <is>
          <t>0924049650</t>
        </is>
      </c>
      <c r="D40" s="8" t="inlineStr">
        <is>
          <t>محمد حمیدی شیرغان</t>
        </is>
      </c>
      <c r="E40" s="8" t="inlineStr">
        <is>
          <t>VERIFIED</t>
        </is>
      </c>
      <c r="F40" s="7" t="inlineStr">
        <is>
          <t>سفید</t>
        </is>
      </c>
      <c r="G40" s="8" t="n">
        <v>2</v>
      </c>
      <c r="H40" s="13" t="n">
        <v>3940000000</v>
      </c>
      <c r="I40" s="53" t="n">
        <v>0.008213381140492594</v>
      </c>
      <c r="J40" s="13" t="n">
        <v>17880000000</v>
      </c>
      <c r="K40" s="13" t="n">
        <v>0</v>
      </c>
      <c r="L40" s="13" t="n">
        <v>10283000000</v>
      </c>
      <c r="M40" s="7" t="inlineStr">
        <is>
          <t>CLEAN</t>
        </is>
      </c>
      <c r="N40" s="7" t="n">
        <v>0</v>
      </c>
      <c r="O40" s="16" t="n">
        <v>2.21</v>
      </c>
      <c r="P40" s="7" t="inlineStr">
        <is>
          <t>-</t>
        </is>
      </c>
      <c r="Q40" s="16" t="n">
        <v>2.21</v>
      </c>
      <c r="R40" s="64" t="inlineStr">
        <is>
          <t>کم‌ریسک</t>
        </is>
      </c>
      <c r="S40" s="8" t="inlineStr">
        <is>
          <t>پذیرش چک روال عادی و ادامه تعامل در سقف مصوب.</t>
        </is>
      </c>
    </row>
    <row r="41">
      <c r="A41" s="11" t="n">
        <v>38</v>
      </c>
      <c r="B41" s="11" t="n">
        <v>42</v>
      </c>
      <c r="C41" s="49" t="inlineStr">
        <is>
          <t>0941183149</t>
        </is>
      </c>
      <c r="D41" s="12" t="inlineStr">
        <is>
          <t>ریحانه روضه خوان</t>
        </is>
      </c>
      <c r="E41" s="12" t="inlineStr">
        <is>
          <t>VERIFIED</t>
        </is>
      </c>
      <c r="F41" s="11" t="inlineStr">
        <is>
          <t>سفید</t>
        </is>
      </c>
      <c r="G41" s="12" t="n">
        <v>3</v>
      </c>
      <c r="H41" s="14" t="n">
        <v>6600000000</v>
      </c>
      <c r="I41" s="50" t="n">
        <v>0.01375845571757643</v>
      </c>
      <c r="J41" s="14" t="n">
        <v>32595000000</v>
      </c>
      <c r="K41" s="14" t="n">
        <v>0</v>
      </c>
      <c r="L41" s="14" t="n">
        <v>1300000000</v>
      </c>
      <c r="M41" s="11" t="inlineStr">
        <is>
          <t>CLEAN</t>
        </is>
      </c>
      <c r="N41" s="11" t="n">
        <v>0</v>
      </c>
      <c r="O41" s="61" t="n">
        <v>0</v>
      </c>
      <c r="P41" s="11" t="inlineStr">
        <is>
          <t>-</t>
        </is>
      </c>
      <c r="Q41" s="61" t="n">
        <v>0</v>
      </c>
      <c r="R41" s="64" t="inlineStr">
        <is>
          <t>کم‌ریسک</t>
        </is>
      </c>
      <c r="S41" s="12" t="inlineStr">
        <is>
          <t>پذیرش چک روال عادی و ادامه تعامل در سقف مصوب.</t>
        </is>
      </c>
    </row>
    <row r="42">
      <c r="A42" s="7" t="n">
        <v>39</v>
      </c>
      <c r="B42" s="7" t="n">
        <v>43</v>
      </c>
      <c r="C42" s="52" t="inlineStr">
        <is>
          <t>0945428022</t>
        </is>
      </c>
      <c r="D42" s="8" t="inlineStr">
        <is>
          <t>مسعود زرین نام</t>
        </is>
      </c>
      <c r="E42" s="8" t="inlineStr">
        <is>
          <t>VERIFIED</t>
        </is>
      </c>
      <c r="F42" s="7" t="inlineStr">
        <is>
          <t>سفید</t>
        </is>
      </c>
      <c r="G42" s="8" t="n">
        <v>1</v>
      </c>
      <c r="H42" s="13" t="n">
        <v>2000000000</v>
      </c>
      <c r="I42" s="53" t="n">
        <v>0.00416922900532619</v>
      </c>
      <c r="J42" s="13" t="n">
        <v>7899823000</v>
      </c>
      <c r="K42" s="13" t="n">
        <v>0</v>
      </c>
      <c r="L42" s="13" t="n">
        <v>0</v>
      </c>
      <c r="M42" s="7" t="inlineStr">
        <is>
          <t>CLEAN</t>
        </is>
      </c>
      <c r="N42" s="7" t="n">
        <v>0</v>
      </c>
      <c r="O42" s="16" t="n">
        <v>0.1</v>
      </c>
      <c r="P42" s="7" t="inlineStr">
        <is>
          <t>-</t>
        </is>
      </c>
      <c r="Q42" s="16" t="n">
        <v>0.1</v>
      </c>
      <c r="R42" s="64" t="inlineStr">
        <is>
          <t>کم‌ریسک</t>
        </is>
      </c>
      <c r="S42" s="8" t="inlineStr">
        <is>
          <t>پذیرش چک روال عادی و ادامه تعامل در سقف مصوب.</t>
        </is>
      </c>
    </row>
    <row r="43">
      <c r="A43" s="11" t="n">
        <v>40</v>
      </c>
      <c r="B43" s="11" t="n">
        <v>45</v>
      </c>
      <c r="C43" s="49" t="inlineStr">
        <is>
          <t>2710183331</t>
        </is>
      </c>
      <c r="D43" s="12" t="inlineStr">
        <is>
          <t>میلاد دلجو</t>
        </is>
      </c>
      <c r="E43" s="12" t="inlineStr">
        <is>
          <t>VERIFIED</t>
        </is>
      </c>
      <c r="F43" s="11" t="inlineStr">
        <is>
          <t>قرمز</t>
        </is>
      </c>
      <c r="G43" s="12" t="n">
        <v>5</v>
      </c>
      <c r="H43" s="14" t="n">
        <v>27500000000</v>
      </c>
      <c r="I43" s="50" t="n">
        <v>0.05732689882323511</v>
      </c>
      <c r="J43" s="14" t="n">
        <v>93388000000</v>
      </c>
      <c r="K43" s="14" t="n">
        <v>1326000000</v>
      </c>
      <c r="L43" s="14" t="n">
        <v>9840000000</v>
      </c>
      <c r="M43" s="11" t="inlineStr">
        <is>
          <t>CHRONIC</t>
        </is>
      </c>
      <c r="N43" s="11" t="n">
        <v>8</v>
      </c>
      <c r="O43" s="61" t="n">
        <v>16.96</v>
      </c>
      <c r="P43" s="11" t="n">
        <v>45</v>
      </c>
      <c r="Q43" s="61" t="n">
        <v>45</v>
      </c>
      <c r="R43" s="63" t="inlineStr">
        <is>
          <t>مراقبت</t>
        </is>
      </c>
      <c r="S43" s="12" t="inlineStr">
        <is>
          <t>مسدودسازی سقف تسهیلات، اخذ تضمین مضاعف و پایش مستمر.</t>
        </is>
      </c>
    </row>
    <row r="44">
      <c r="A44" s="7" t="n">
        <v>41</v>
      </c>
      <c r="B44" s="7" t="n">
        <v>46</v>
      </c>
      <c r="C44" s="52" t="inlineStr">
        <is>
          <t>0927624011</t>
        </is>
      </c>
      <c r="D44" s="8" t="inlineStr">
        <is>
          <t>زهرا بهرامی پویا</t>
        </is>
      </c>
      <c r="E44" s="8" t="inlineStr">
        <is>
          <t>VERIFIED</t>
        </is>
      </c>
      <c r="F44" s="7" t="inlineStr">
        <is>
          <t>قرمز</t>
        </is>
      </c>
      <c r="G44" s="8" t="n">
        <v>1</v>
      </c>
      <c r="H44" s="13" t="n">
        <v>15000000000</v>
      </c>
      <c r="I44" s="53" t="n">
        <v>0.03126921753994642</v>
      </c>
      <c r="J44" s="13" t="n">
        <v>338830000000</v>
      </c>
      <c r="K44" s="13" t="n">
        <v>12300000000</v>
      </c>
      <c r="L44" s="13" t="n">
        <v>11800000000</v>
      </c>
      <c r="M44" s="7" t="inlineStr">
        <is>
          <t>INTERMITTENT</t>
        </is>
      </c>
      <c r="N44" s="7" t="n">
        <v>4</v>
      </c>
      <c r="O44" s="16" t="n">
        <v>26.43</v>
      </c>
      <c r="P44" s="7" t="n">
        <v>72</v>
      </c>
      <c r="Q44" s="16" t="n">
        <v>72</v>
      </c>
      <c r="R44" s="62" t="inlineStr">
        <is>
          <t>پرریسک</t>
        </is>
      </c>
      <c r="S44" s="8" t="inlineStr">
        <is>
          <t>مسدودسازی سقف تسهیلات، اخذ وثیقه ملکی/نقدی، پایش فشرده و کاهش تعهدات.</t>
        </is>
      </c>
    </row>
    <row r="45">
      <c r="A45" s="11" t="n">
        <v>42</v>
      </c>
      <c r="B45" s="11" t="n">
        <v>47</v>
      </c>
      <c r="C45" s="49" t="inlineStr">
        <is>
          <t>0921646003</t>
        </is>
      </c>
      <c r="D45" s="12" t="inlineStr">
        <is>
          <t>باقریان پور جواد</t>
        </is>
      </c>
      <c r="E45" s="12" t="inlineStr">
        <is>
          <t>VERIFIED</t>
        </is>
      </c>
      <c r="F45" s="11" t="inlineStr">
        <is>
          <t>سفید</t>
        </is>
      </c>
      <c r="G45" s="12" t="n">
        <v>1</v>
      </c>
      <c r="H45" s="14" t="n">
        <v>1000000000</v>
      </c>
      <c r="I45" s="50" t="n">
        <v>0.002084614502663095</v>
      </c>
      <c r="J45" s="14" t="n">
        <v>94591495000</v>
      </c>
      <c r="K45" s="14" t="n">
        <v>0</v>
      </c>
      <c r="L45" s="14" t="n">
        <v>2827870000</v>
      </c>
      <c r="M45" s="11" t="inlineStr">
        <is>
          <t>CLEAN</t>
        </is>
      </c>
      <c r="N45" s="11" t="n">
        <v>0</v>
      </c>
      <c r="O45" s="61" t="n">
        <v>0.03</v>
      </c>
      <c r="P45" s="11" t="inlineStr">
        <is>
          <t>-</t>
        </is>
      </c>
      <c r="Q45" s="61" t="n">
        <v>0.03</v>
      </c>
      <c r="R45" s="64" t="inlineStr">
        <is>
          <t>کم‌ریسک</t>
        </is>
      </c>
      <c r="S45" s="12" t="inlineStr">
        <is>
          <t>پذیرش چک روال عادی و ادامه تعامل در سقف مصوب.</t>
        </is>
      </c>
    </row>
    <row r="46">
      <c r="A46" s="7" t="n">
        <v>43</v>
      </c>
      <c r="B46" s="7" t="n">
        <v>48</v>
      </c>
      <c r="C46" s="52" t="inlineStr">
        <is>
          <t>0931575941</t>
        </is>
      </c>
      <c r="D46" s="8" t="inlineStr">
        <is>
          <t>سمیرا کارآزما مارشک</t>
        </is>
      </c>
      <c r="E46" s="8" t="inlineStr">
        <is>
          <t>VERIFIED</t>
        </is>
      </c>
      <c r="F46" s="7" t="inlineStr">
        <is>
          <t>سفید</t>
        </is>
      </c>
      <c r="G46" s="8" t="n">
        <v>2</v>
      </c>
      <c r="H46" s="13" t="n">
        <v>3520000000</v>
      </c>
      <c r="I46" s="53" t="n">
        <v>0.007337843049374094</v>
      </c>
      <c r="J46" s="13" t="n">
        <v>56196200000</v>
      </c>
      <c r="K46" s="13" t="n">
        <v>0</v>
      </c>
      <c r="L46" s="13" t="n">
        <v>20803880000</v>
      </c>
      <c r="M46" s="7" t="inlineStr">
        <is>
          <t>CLEAN</t>
        </is>
      </c>
      <c r="N46" s="7" t="n">
        <v>0</v>
      </c>
      <c r="O46" s="16" t="n">
        <v>0.09</v>
      </c>
      <c r="P46" s="7" t="inlineStr">
        <is>
          <t>-</t>
        </is>
      </c>
      <c r="Q46" s="16" t="n">
        <v>0.09</v>
      </c>
      <c r="R46" s="64" t="inlineStr">
        <is>
          <t>کم‌ریسک</t>
        </is>
      </c>
      <c r="S46" s="8" t="inlineStr">
        <is>
          <t>پذیرش چک روال عادی و ادامه تعامل در سقف مصوب.</t>
        </is>
      </c>
    </row>
    <row r="47">
      <c r="A47" s="11" t="n">
        <v>44</v>
      </c>
      <c r="B47" s="11" t="n">
        <v>49</v>
      </c>
      <c r="C47" s="49" t="inlineStr">
        <is>
          <t>6439564609</t>
        </is>
      </c>
      <c r="D47" s="12" t="inlineStr">
        <is>
          <t>معصومه دوامی</t>
        </is>
      </c>
      <c r="E47" s="12" t="inlineStr">
        <is>
          <t>VERIFIED</t>
        </is>
      </c>
      <c r="F47" s="11" t="inlineStr">
        <is>
          <t>سفید</t>
        </is>
      </c>
      <c r="G47" s="12" t="n">
        <v>6</v>
      </c>
      <c r="H47" s="14" t="n">
        <v>82500000000</v>
      </c>
      <c r="I47" s="50" t="n">
        <v>0.1719806964697053</v>
      </c>
      <c r="J47" s="14" t="n">
        <v>162300000000</v>
      </c>
      <c r="K47" s="14" t="n">
        <v>0</v>
      </c>
      <c r="L47" s="14" t="n">
        <v>265000000</v>
      </c>
      <c r="M47" s="11" t="inlineStr">
        <is>
          <t>CLEAN</t>
        </is>
      </c>
      <c r="N47" s="11" t="n">
        <v>0</v>
      </c>
      <c r="O47" s="61" t="n">
        <v>0.01</v>
      </c>
      <c r="P47" s="11" t="inlineStr">
        <is>
          <t>-</t>
        </is>
      </c>
      <c r="Q47" s="61" t="n">
        <v>0.01</v>
      </c>
      <c r="R47" s="64" t="inlineStr">
        <is>
          <t>کم‌ریسک</t>
        </is>
      </c>
      <c r="S47" s="12" t="inlineStr">
        <is>
          <t>پذیرش چک روال عادی و ادامه تعامل در سقف مصوب.</t>
        </is>
      </c>
    </row>
    <row r="48">
      <c r="A48" s="7" t="n">
        <v>45</v>
      </c>
      <c r="B48" s="7" t="n">
        <v>50</v>
      </c>
      <c r="C48" s="52" t="inlineStr">
        <is>
          <t>0921515057</t>
        </is>
      </c>
      <c r="D48" s="8" t="inlineStr">
        <is>
          <t>سمانه صیادقشه توت</t>
        </is>
      </c>
      <c r="E48" s="8" t="inlineStr">
        <is>
          <t>VERIFIED</t>
        </is>
      </c>
      <c r="F48" s="7" t="inlineStr">
        <is>
          <t>سفید</t>
        </is>
      </c>
      <c r="G48" s="8" t="n">
        <v>1</v>
      </c>
      <c r="H48" s="13" t="n">
        <v>360000000</v>
      </c>
      <c r="I48" s="53" t="n">
        <v>0.0007504612209587142</v>
      </c>
      <c r="J48" s="13" t="n">
        <v>18287300000</v>
      </c>
      <c r="K48" s="13" t="n">
        <v>0</v>
      </c>
      <c r="L48" s="13" t="n">
        <v>50000000</v>
      </c>
      <c r="M48" s="7" t="inlineStr">
        <is>
          <t>CLEAN</t>
        </is>
      </c>
      <c r="N48" s="7" t="n">
        <v>0</v>
      </c>
      <c r="O48" s="16" t="n">
        <v>0</v>
      </c>
      <c r="P48" s="7" t="inlineStr">
        <is>
          <t>-</t>
        </is>
      </c>
      <c r="Q48" s="16" t="n">
        <v>0</v>
      </c>
      <c r="R48" s="64" t="inlineStr">
        <is>
          <t>کم‌ریسک</t>
        </is>
      </c>
      <c r="S48" s="8" t="inlineStr">
        <is>
          <t>پذیرش چک روال عادی و ادامه تعامل در سقف مصوب.</t>
        </is>
      </c>
    </row>
    <row r="49">
      <c r="A49" s="11" t="n">
        <v>46</v>
      </c>
      <c r="B49" s="11" t="n">
        <v>52</v>
      </c>
      <c r="C49" s="49" t="inlineStr">
        <is>
          <t>0934578771</t>
        </is>
      </c>
      <c r="D49" s="12" t="inlineStr">
        <is>
          <t>مریم حسنی</t>
        </is>
      </c>
      <c r="E49" s="12" t="inlineStr">
        <is>
          <t>VERIFIED</t>
        </is>
      </c>
      <c r="F49" s="11" t="inlineStr">
        <is>
          <t>سفید</t>
        </is>
      </c>
      <c r="G49" s="12" t="n">
        <v>3</v>
      </c>
      <c r="H49" s="14" t="n">
        <v>9300000000</v>
      </c>
      <c r="I49" s="50" t="n">
        <v>0.01938691487476678</v>
      </c>
      <c r="J49" s="14" t="n">
        <v>76774740000</v>
      </c>
      <c r="K49" s="14" t="n">
        <v>0</v>
      </c>
      <c r="L49" s="14" t="n">
        <v>13688200000</v>
      </c>
      <c r="M49" s="11" t="inlineStr">
        <is>
          <t>CLEAN</t>
        </is>
      </c>
      <c r="N49" s="11" t="n">
        <v>0</v>
      </c>
      <c r="O49" s="61" t="n">
        <v>0</v>
      </c>
      <c r="P49" s="11" t="inlineStr">
        <is>
          <t>-</t>
        </is>
      </c>
      <c r="Q49" s="61" t="n">
        <v>0</v>
      </c>
      <c r="R49" s="64" t="inlineStr">
        <is>
          <t>کم‌ریسک</t>
        </is>
      </c>
      <c r="S49" s="12" t="inlineStr">
        <is>
          <t>پذیرش چک روال عادی و ادامه تعامل در سقف مصوب.</t>
        </is>
      </c>
    </row>
    <row r="50">
      <c r="A50" s="55" t="inlineStr">
        <is>
          <t>مجموع کل</t>
        </is>
      </c>
      <c r="B50" s="56" t="n"/>
      <c r="C50" s="56" t="n"/>
      <c r="D50" s="56" t="n"/>
      <c r="E50" s="56" t="n"/>
      <c r="F50" s="56" t="n"/>
      <c r="G50" s="46">
        <f>SUM(G4:G49)</f>
        <v/>
      </c>
      <c r="H50" s="46">
        <f>SUM(H4:H49)</f>
        <v/>
      </c>
      <c r="I50" s="47">
        <f>SUM(I4:I49)</f>
        <v/>
      </c>
      <c r="J50" s="46">
        <f>SUM(J4:J49)</f>
        <v/>
      </c>
      <c r="K50" s="46">
        <f>SUM(K4:K49)</f>
        <v/>
      </c>
      <c r="L50" s="46">
        <f>SUM(L4:L49)</f>
        <v/>
      </c>
      <c r="M50" s="56" t="n"/>
      <c r="N50" s="56" t="n"/>
      <c r="O50" s="56" t="n"/>
      <c r="P50" s="56" t="n"/>
      <c r="Q50" s="58">
        <f>AVERAGE(Q4:Q49)</f>
        <v/>
      </c>
      <c r="R50" s="45" t="inlineStr">
        <is>
          <t>میانگین سبد</t>
        </is>
      </c>
      <c r="S50" s="56" t="n"/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N11"/>
  <sheetViews>
    <sheetView rightToLeft="1" workbookViewId="0">
      <selection activeCell="A1" sqref="A1"/>
    </sheetView>
  </sheetViews>
  <sheetFormatPr baseColWidth="8" defaultRowHeight="15"/>
  <cols>
    <col width="65" customWidth="1" min="1" max="1"/>
    <col width="27" customWidth="1" min="2" max="2"/>
    <col width="20" customWidth="1" min="3" max="3"/>
    <col width="35" customWidth="1" min="4" max="4"/>
    <col width="27" customWidth="1" min="5" max="5"/>
    <col width="27" customWidth="1" min="6" max="6"/>
    <col width="23" customWidth="1" min="7" max="7"/>
    <col width="27" customWidth="1" min="8" max="8"/>
    <col width="27" customWidth="1" min="9" max="9"/>
    <col width="23" customWidth="1" min="10" max="10"/>
    <col width="27" customWidth="1" min="11" max="11"/>
    <col width="18" customWidth="1" min="12" max="12"/>
    <col width="23" customWidth="1" min="13" max="13"/>
    <col width="65" customWidth="1" min="14" max="14"/>
  </cols>
  <sheetData>
    <row r="1">
      <c r="A1" s="1" t="inlineStr">
        <is>
          <t>لاگ رخدادهای اعتباری و پایش تحولات استعلام امروز (Today's Credit Events &amp; Inquiries)</t>
        </is>
      </c>
    </row>
    <row r="2">
      <c r="A2" s="2" t="inlineStr">
        <is>
          <t>کشف هوشمند رخدادهای انتقال تعهد در راه به برگشتی و رفع سوءاثر واقعی | پرونده‌های شاخص: زهرا بهرامی پویا (-۳.۵B در راه / +۳.۵B برگشتی)، طرقی، محمدی، موسوی، زحمتکش و غفوریان</t>
        </is>
      </c>
    </row>
    <row r="3">
      <c r="A3" s="4" t="inlineStr">
        <is>
          <t>ردیف</t>
        </is>
      </c>
      <c r="B3" s="4" t="inlineStr">
        <is>
          <t>نام مشتری / صادرکننده</t>
        </is>
      </c>
      <c r="C3" s="4" t="inlineStr">
        <is>
          <t>کد ملی صادرکننده</t>
        </is>
      </c>
      <c r="D3" s="4" t="inlineStr">
        <is>
          <t>نوع رویداد اعتباری</t>
        </is>
      </c>
      <c r="E3" s="4" t="inlineStr">
        <is>
          <t>مبلغ قبلی در راه (ریال)</t>
        </is>
      </c>
      <c r="F3" s="4" t="inlineStr">
        <is>
          <t>مبلغ جدید در راه (ریال)</t>
        </is>
      </c>
      <c r="G3" s="4" t="inlineStr">
        <is>
          <t>تغییر در راه (ریال)</t>
        </is>
      </c>
      <c r="H3" s="4" t="inlineStr">
        <is>
          <t>مبلغ قبلی برگشتی (ریال)</t>
        </is>
      </c>
      <c r="I3" s="4" t="inlineStr">
        <is>
          <t>مبلغ جدید برگشتی (ریال)</t>
        </is>
      </c>
      <c r="J3" s="4" t="inlineStr">
        <is>
          <t>تغییر برگشتی (ریال)</t>
        </is>
      </c>
      <c r="K3" s="4" t="inlineStr">
        <is>
          <t>مبلغ خالص رویداد (ریال)</t>
        </is>
      </c>
      <c r="L3" s="4" t="inlineStr">
        <is>
          <t>سطح قطعیت</t>
        </is>
      </c>
      <c r="M3" s="4" t="inlineStr">
        <is>
          <t>زمان آخرین استعلام</t>
        </is>
      </c>
      <c r="N3" s="4" t="inlineStr">
        <is>
          <t>شرح تشخیصی سامانه</t>
        </is>
      </c>
    </row>
    <row r="4">
      <c r="A4" s="11" t="n">
        <v>1</v>
      </c>
      <c r="B4" s="12" t="inlineStr">
        <is>
          <t>ابوالفضل شافعی</t>
        </is>
      </c>
      <c r="C4" s="49" t="inlineStr">
        <is>
          <t>0941987231</t>
        </is>
      </c>
      <c r="D4" s="65" t="inlineStr">
        <is>
          <t>انتقال تعهد در راه به برگشتی</t>
        </is>
      </c>
      <c r="E4" s="14" t="n">
        <v>53730000000</v>
      </c>
      <c r="F4" s="14" t="n">
        <v>46230000000</v>
      </c>
      <c r="G4" s="14" t="n">
        <v>-7500000000</v>
      </c>
      <c r="H4" s="14" t="n">
        <v>5300000000</v>
      </c>
      <c r="I4" s="14" t="n">
        <v>12800000000</v>
      </c>
      <c r="J4" s="14" t="n">
        <v>7500000000</v>
      </c>
      <c r="K4" s="14" t="n">
        <v>7500000000</v>
      </c>
      <c r="L4" s="11" t="inlineStr">
        <is>
          <t>قطعی (CERTAIN)</t>
        </is>
      </c>
      <c r="M4" s="12" t="inlineStr">
        <is>
          <t>2026-09-06 20:00:00</t>
        </is>
      </c>
      <c r="N4" s="12" t="inlineStr">
        <is>
          <t>انتقال مبلغ 7,500,000,000 ریال از وضعیت در راه به برگشتی در پرونده ابوالفضل شافعی (کدملی 0941987231) با ضریب اطمینان قطعی (۱۰۰٪ تطابق ریاضی).</t>
        </is>
      </c>
    </row>
    <row r="5">
      <c r="A5" s="7" t="n">
        <v>2</v>
      </c>
      <c r="B5" s="8" t="inlineStr">
        <is>
          <t>محمد رفیق طرقی</t>
        </is>
      </c>
      <c r="C5" s="52" t="inlineStr">
        <is>
          <t>0890543331</t>
        </is>
      </c>
      <c r="D5" s="66" t="inlineStr">
        <is>
          <t>انتقال تعهد در راه به برگشتی</t>
        </is>
      </c>
      <c r="E5" s="13" t="n">
        <v>270965000000</v>
      </c>
      <c r="F5" s="13" t="n">
        <v>265665000000</v>
      </c>
      <c r="G5" s="13" t="n">
        <v>-5300000000</v>
      </c>
      <c r="H5" s="13" t="n">
        <v>35000000000</v>
      </c>
      <c r="I5" s="13" t="n">
        <v>40300000000</v>
      </c>
      <c r="J5" s="13" t="n">
        <v>5300000000</v>
      </c>
      <c r="K5" s="13" t="n">
        <v>5300000000</v>
      </c>
      <c r="L5" s="7" t="inlineStr">
        <is>
          <t>قطعی (CERTAIN)</t>
        </is>
      </c>
      <c r="M5" s="8" t="inlineStr">
        <is>
          <t>2026-09-06 09:21:59</t>
        </is>
      </c>
      <c r="N5" s="8" t="inlineStr">
        <is>
          <t>انتقال مبلغ 5,300,000,000 ریال از وضعیت در راه به برگشتی در پرونده محمد رفیق طرقی (کدملی 0890543331) با ضریب اطمینان قطعی (۱۰۰٪ تطابق ریاضی).</t>
        </is>
      </c>
    </row>
    <row r="6">
      <c r="A6" s="11" t="n">
        <v>3</v>
      </c>
      <c r="B6" s="12" t="inlineStr">
        <is>
          <t>وحید محمدی انور</t>
        </is>
      </c>
      <c r="C6" s="49" t="inlineStr">
        <is>
          <t>1920394974</t>
        </is>
      </c>
      <c r="D6" s="65" t="inlineStr">
        <is>
          <t>انتقال تعهد در راه به برگشتی</t>
        </is>
      </c>
      <c r="E6" s="14" t="n">
        <v>16689000000</v>
      </c>
      <c r="F6" s="14" t="n">
        <v>12989000000</v>
      </c>
      <c r="G6" s="14" t="n">
        <v>-3700000000</v>
      </c>
      <c r="H6" s="14" t="n">
        <v>500000000</v>
      </c>
      <c r="I6" s="14" t="n">
        <v>4200000000</v>
      </c>
      <c r="J6" s="14" t="n">
        <v>3700000000</v>
      </c>
      <c r="K6" s="14" t="n">
        <v>3700000000</v>
      </c>
      <c r="L6" s="11" t="inlineStr">
        <is>
          <t>قطعی (CERTAIN)</t>
        </is>
      </c>
      <c r="M6" s="12" t="inlineStr">
        <is>
          <t>2026-09-06 09:21:49</t>
        </is>
      </c>
      <c r="N6" s="12" t="inlineStr">
        <is>
          <t>انتقال مبلغ 3,700,000,000 ریال از وضعیت در راه به برگشتی در پرونده وحید محمدی انور (کدملی 1920394974) با ضریب اطمینان قطعی (۱۰۰٪ تطابق ریاضی).</t>
        </is>
      </c>
    </row>
    <row r="7">
      <c r="A7" s="7" t="n">
        <v>4</v>
      </c>
      <c r="B7" s="8" t="inlineStr">
        <is>
          <t>زهرا بهرامی پویا</t>
        </is>
      </c>
      <c r="C7" s="52" t="inlineStr">
        <is>
          <t>0927624011</t>
        </is>
      </c>
      <c r="D7" s="66" t="inlineStr">
        <is>
          <t>انتقال تعهد در راه به برگشتی</t>
        </is>
      </c>
      <c r="E7" s="13" t="n">
        <v>342330000000</v>
      </c>
      <c r="F7" s="13" t="n">
        <v>338830000000</v>
      </c>
      <c r="G7" s="13" t="n">
        <v>-3500000000</v>
      </c>
      <c r="H7" s="13" t="n">
        <v>8800000000</v>
      </c>
      <c r="I7" s="13" t="n">
        <v>12300000000</v>
      </c>
      <c r="J7" s="13" t="n">
        <v>3500000000</v>
      </c>
      <c r="K7" s="13" t="n">
        <v>3500000000</v>
      </c>
      <c r="L7" s="7" t="inlineStr">
        <is>
          <t>قطعی (CERTAIN)</t>
        </is>
      </c>
      <c r="M7" s="8" t="inlineStr">
        <is>
          <t>2026-09-06 20:00:00</t>
        </is>
      </c>
      <c r="N7" s="8" t="inlineStr">
        <is>
          <t>انتقال مبلغ 3,500,000,000 ریال از وضعیت در راه به برگشتی در پرونده زهرا بهرامی پویا (کدملی 0927624011) با ضریب اطمینان قطعی (۱۰۰٪ تطابق ریاضی).</t>
        </is>
      </c>
    </row>
    <row r="8">
      <c r="A8" s="11" t="n">
        <v>5</v>
      </c>
      <c r="B8" s="12" t="inlineStr">
        <is>
          <t>سیدجمال موسوی علی آبادی</t>
        </is>
      </c>
      <c r="C8" s="49" t="inlineStr">
        <is>
          <t>6510002647</t>
        </is>
      </c>
      <c r="D8" s="65" t="inlineStr">
        <is>
          <t>انتقال تعهد در راه به برگشتی</t>
        </is>
      </c>
      <c r="E8" s="14" t="n">
        <v>36590000000</v>
      </c>
      <c r="F8" s="14" t="n">
        <v>35090000000</v>
      </c>
      <c r="G8" s="14" t="n">
        <v>-1500000000</v>
      </c>
      <c r="H8" s="14" t="n">
        <v>1300000000</v>
      </c>
      <c r="I8" s="14" t="n">
        <v>2800000000</v>
      </c>
      <c r="J8" s="14" t="n">
        <v>1500000000</v>
      </c>
      <c r="K8" s="14" t="n">
        <v>1500000000</v>
      </c>
      <c r="L8" s="11" t="inlineStr">
        <is>
          <t>قطعی (CERTAIN)</t>
        </is>
      </c>
      <c r="M8" s="12" t="inlineStr">
        <is>
          <t>2026-09-05 08:43:51</t>
        </is>
      </c>
      <c r="N8" s="12" t="inlineStr">
        <is>
          <t>انتقال مبلغ 1,500,000,000 ریال از وضعیت در راه به برگشتی در پرونده سیدجمال موسوی علی آبادی (کدملی 6510002647) با ضریب اطمینان قطعی (۱۰۰٪ تطابق ریاضی). (منشأ داده: REUSED_VALID_SUCCESS - رخداد از آخرین استعلام معتبر، نه الزاماً امروز)</t>
        </is>
      </c>
    </row>
    <row r="9">
      <c r="A9" s="7" t="n">
        <v>6</v>
      </c>
      <c r="B9" s="8" t="inlineStr">
        <is>
          <t>احمد زحمتکش باجگیران</t>
        </is>
      </c>
      <c r="C9" s="52" t="inlineStr">
        <is>
          <t>0860270361</t>
        </is>
      </c>
      <c r="D9" s="66" t="inlineStr">
        <is>
          <t>انتقال تعهد در راه به برگشتی</t>
        </is>
      </c>
      <c r="E9" s="13" t="n">
        <v>136458325000</v>
      </c>
      <c r="F9" s="13" t="n">
        <v>135058325000</v>
      </c>
      <c r="G9" s="13" t="n">
        <v>-1400000000</v>
      </c>
      <c r="H9" s="13" t="n">
        <v>10150000000</v>
      </c>
      <c r="I9" s="13" t="n">
        <v>11550000000</v>
      </c>
      <c r="J9" s="13" t="n">
        <v>1400000000</v>
      </c>
      <c r="K9" s="13" t="n">
        <v>1400000000</v>
      </c>
      <c r="L9" s="7" t="inlineStr">
        <is>
          <t>قطعی (CERTAIN)</t>
        </is>
      </c>
      <c r="M9" s="8" t="inlineStr">
        <is>
          <t>2026-09-06 09:23:48</t>
        </is>
      </c>
      <c r="N9" s="8" t="inlineStr">
        <is>
          <t>انتقال مبلغ 1,400,000,000 ریال از وضعیت در راه به برگشتی در پرونده احمد زحمتکش باجگیران (کدملی 0860270361) با ضریب اطمینان قطعی (۱۰۰٪ تطابق ریاضی).</t>
        </is>
      </c>
    </row>
    <row r="10">
      <c r="A10" s="11" t="n">
        <v>7</v>
      </c>
      <c r="B10" s="12" t="inlineStr">
        <is>
          <t>جواد غفوریان قالی باف</t>
        </is>
      </c>
      <c r="C10" s="49" t="inlineStr">
        <is>
          <t>0941314121</t>
        </is>
      </c>
      <c r="D10" s="67" t="inlineStr">
        <is>
          <t>رفع سوءاثر واقعی و تسویه برگشتی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4" t="n">
        <v>1000000000</v>
      </c>
      <c r="I10" s="14" t="n">
        <v>0</v>
      </c>
      <c r="J10" s="14" t="n">
        <v>-1000000000</v>
      </c>
      <c r="K10" s="14" t="n">
        <v>1000000000</v>
      </c>
      <c r="L10" s="11" t="inlineStr">
        <is>
          <t>قطعی (CERTAIN)</t>
        </is>
      </c>
      <c r="M10" s="12" t="inlineStr">
        <is>
          <t>2026-09-06 20:00:00</t>
        </is>
      </c>
      <c r="N10" s="12" t="inlineStr">
        <is>
          <t>کاهش 1,000,000,000 ریال از برگشتی و افزایش دقیق 1,000,000,000 ریال در رفع سوءاثر پرونده جواد غفوریان قالی باف (کدملی 0941314121).</t>
        </is>
      </c>
    </row>
    <row r="11">
      <c r="A11" s="7" t="n">
        <v>8</v>
      </c>
      <c r="B11" s="8" t="inlineStr">
        <is>
          <t>وحید اشرافیان</t>
        </is>
      </c>
      <c r="C11" s="52" t="inlineStr">
        <is>
          <t>0921320711</t>
        </is>
      </c>
      <c r="D11" s="8" t="inlineStr">
        <is>
          <t>بهبود جزئی و کاهش برگشتی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13" t="n">
        <v>6417000000</v>
      </c>
      <c r="I11" s="13" t="n">
        <v>6247000000</v>
      </c>
      <c r="J11" s="13" t="n">
        <v>-170000000</v>
      </c>
      <c r="K11" s="13" t="n">
        <v>780000000</v>
      </c>
      <c r="L11" s="7" t="inlineStr">
        <is>
          <t>بالا (HIGH)</t>
        </is>
      </c>
      <c r="M11" s="8" t="inlineStr">
        <is>
          <t>2026-09-06 20:00:00</t>
        </is>
      </c>
      <c r="N11" s="8" t="inlineStr">
        <is>
          <t>بهبود جزئی / کاهش 170,000,000 ریال از برگشتی همراه با افزایش 780,000,000 ریال رفع سوءاثر، اما بدون تطابق مبلغ کامل در پرونده وحید اشرافیان (کدملی 0921320711).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2626"/>
    <outlinePr summaryBelow="1" summaryRight="1"/>
    <pageSetUpPr/>
  </sheetPr>
  <dimension ref="A1:K4"/>
  <sheetViews>
    <sheetView rightToLeft="1" workbookViewId="0">
      <selection activeCell="A1" sqref="A1"/>
    </sheetView>
  </sheetViews>
  <sheetFormatPr baseColWidth="8" defaultRowHeight="15"/>
  <cols>
    <col width="65" customWidth="1" min="1" max="1"/>
    <col width="17" customWidth="1" min="2" max="2"/>
    <col width="20" customWidth="1" min="3" max="3"/>
    <col width="15" customWidth="1" min="4" max="4"/>
    <col width="14" customWidth="1" min="5" max="5"/>
    <col width="29" customWidth="1" min="6" max="6"/>
    <col width="28" customWidth="1" min="7" max="7"/>
    <col width="28" customWidth="1" min="8" max="8"/>
    <col width="25" customWidth="1" min="9" max="9"/>
    <col width="65" customWidth="1" min="10" max="10"/>
    <col width="65" customWidth="1" min="11" max="11"/>
  </cols>
  <sheetData>
    <row r="1">
      <c r="A1" s="1" t="inlineStr">
        <is>
          <t>فهرست مشتریان مشمول اقدام فوری اعتباری (Immediate Action Required - Score 81-100)</t>
        </is>
      </c>
    </row>
    <row r="2">
      <c r="A2" s="2" t="inlineStr">
        <is>
          <t>مشتریان دارای ریسک بحرانی و برگشتی سنگین؛ توقف بلادرنگ افزایش اعتبار، ضبط وثایق و پیگیری حقوقی وصول</t>
        </is>
      </c>
    </row>
    <row r="3">
      <c r="A3" s="68" t="inlineStr">
        <is>
          <t>ردیف</t>
        </is>
      </c>
      <c r="B3" s="68" t="inlineStr">
        <is>
          <t>نام صادرکننده</t>
        </is>
      </c>
      <c r="C3" s="68" t="inlineStr">
        <is>
          <t>کد ملی صادرکننده</t>
        </is>
      </c>
      <c r="D3" s="68" t="inlineStr">
        <is>
          <t>امتیاز ریسک</t>
        </is>
      </c>
      <c r="E3" s="68" t="inlineStr">
        <is>
          <t>طبقه ریسک</t>
        </is>
      </c>
      <c r="F3" s="68" t="inlineStr">
        <is>
          <t>مجموع تعهدات صندوق (ریال)</t>
        </is>
      </c>
      <c r="G3" s="68" t="inlineStr">
        <is>
          <t>مبلغ برگشتی بانکی (ریال)</t>
        </is>
      </c>
      <c r="H3" s="68" t="inlineStr">
        <is>
          <t>مبلغ در راه بانکی (ریال)</t>
        </is>
      </c>
      <c r="I3" s="68" t="inlineStr">
        <is>
          <t>سابقه دوره‌های برگشتی</t>
        </is>
      </c>
      <c r="J3" s="68" t="inlineStr">
        <is>
          <t>علل اصلی ورود به رده بحرانی</t>
        </is>
      </c>
      <c r="K3" s="68" t="inlineStr">
        <is>
          <t>اقدامات الزامی و پروتکل حقوقی</t>
        </is>
      </c>
    </row>
    <row r="4">
      <c r="A4" s="21" t="n">
        <v>1</v>
      </c>
      <c r="B4" s="24" t="inlineStr">
        <is>
          <t>حسین حشمتی</t>
        </is>
      </c>
      <c r="C4" s="69" t="inlineStr">
        <is>
          <t>0933387075</t>
        </is>
      </c>
      <c r="D4" s="70" t="n">
        <v>85</v>
      </c>
      <c r="E4" s="21" t="inlineStr">
        <is>
          <t>اقدام فوری</t>
        </is>
      </c>
      <c r="F4" s="22" t="n">
        <v>1060000000</v>
      </c>
      <c r="G4" s="22" t="n">
        <v>56960000000</v>
      </c>
      <c r="H4" s="22" t="n">
        <v>2500000000</v>
      </c>
      <c r="I4" s="21" t="inlineStr">
        <is>
          <t>2 دوره (برگشتی مزمن)</t>
        </is>
      </c>
      <c r="J4" s="24" t="inlineStr">
        <is>
          <t>مبلغ برگشتی بالای ۵۰ میلیارد ریال (مشروط به کف اجباری ۸۵) و سابقه مزمن عدم تسویه</t>
        </is>
      </c>
      <c r="K4" s="24" t="inlineStr">
        <is>
          <t>انسداد فوری حساب صندوق، ضبط و واخواست چک‌های نزد صندوق، ارسال اظهارنامه رسمی قضایی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A8A04"/>
    <outlinePr summaryBelow="1" summaryRight="1"/>
    <pageSetUpPr/>
  </sheetPr>
  <dimension ref="A1:K7"/>
  <sheetViews>
    <sheetView rightToLeft="1" workbookViewId="0">
      <selection activeCell="A1" sqref="A1"/>
    </sheetView>
  </sheetViews>
  <sheetFormatPr baseColWidth="8" defaultRowHeight="15"/>
  <cols>
    <col width="65" customWidth="1" min="1" max="1"/>
    <col width="27" customWidth="1" min="2" max="2"/>
    <col width="20" customWidth="1" min="3" max="3"/>
    <col width="15" customWidth="1" min="4" max="4"/>
    <col width="12" customWidth="1" min="5" max="5"/>
    <col width="23" customWidth="1" min="6" max="6"/>
    <col width="28" customWidth="1" min="7" max="7"/>
    <col width="28" customWidth="1" min="8" max="8"/>
    <col width="25" customWidth="1" min="9" max="9"/>
    <col width="65" customWidth="1" min="10" max="10"/>
    <col width="65" customWidth="1" min="11" max="11"/>
  </cols>
  <sheetData>
    <row r="1">
      <c r="A1" s="1" t="inlineStr">
        <is>
          <t>فهرست مشتریان تحت مراقبت و پایش اعتباری (Watch List - Score 41-60)</t>
        </is>
      </c>
    </row>
    <row r="2">
      <c r="A2" s="2" t="inlineStr">
        <is>
          <t>مشتریان دارای نوسان اعتباری یا سابقه برگشتی متناوب؛ اخذ تضمین فرعی، عدم افزایش حد اعتباری و نظارت هفتگی</t>
        </is>
      </c>
    </row>
    <row r="3">
      <c r="A3" s="71" t="inlineStr">
        <is>
          <t>ردیف</t>
        </is>
      </c>
      <c r="B3" s="71" t="inlineStr">
        <is>
          <t>نام صادرکننده</t>
        </is>
      </c>
      <c r="C3" s="71" t="inlineStr">
        <is>
          <t>کد ملی صادرکننده</t>
        </is>
      </c>
      <c r="D3" s="71" t="inlineStr">
        <is>
          <t>امتیاز ریسک</t>
        </is>
      </c>
      <c r="E3" s="71" t="inlineStr">
        <is>
          <t>رده ریسک</t>
        </is>
      </c>
      <c r="F3" s="71" t="inlineStr">
        <is>
          <t>تعهدات صندوق (ریال)</t>
        </is>
      </c>
      <c r="G3" s="71" t="inlineStr">
        <is>
          <t>مبلغ برگشتی بانکی (ریال)</t>
        </is>
      </c>
      <c r="H3" s="71" t="inlineStr">
        <is>
          <t>مبلغ در راه بانکی (ریال)</t>
        </is>
      </c>
      <c r="I3" s="71" t="inlineStr">
        <is>
          <t>سابقه دوره‌های برگشتی</t>
        </is>
      </c>
      <c r="J3" s="71" t="inlineStr">
        <is>
          <t>علل قرارگیری در مراقبت</t>
        </is>
      </c>
      <c r="K3" s="71" t="inlineStr">
        <is>
          <t>اقدامات پیشگیرانه و مراقبتی</t>
        </is>
      </c>
    </row>
    <row r="4">
      <c r="A4" s="31" t="n">
        <v>1</v>
      </c>
      <c r="B4" s="34" t="inlineStr">
        <is>
          <t>وحید محمدی انور</t>
        </is>
      </c>
      <c r="C4" s="72" t="inlineStr">
        <is>
          <t>1920394974</t>
        </is>
      </c>
      <c r="D4" s="73" t="n">
        <v>52.93</v>
      </c>
      <c r="E4" s="31" t="inlineStr">
        <is>
          <t>مراقبت</t>
        </is>
      </c>
      <c r="F4" s="32" t="n">
        <v>7400000000</v>
      </c>
      <c r="G4" s="32" t="n">
        <v>4200000000</v>
      </c>
      <c r="H4" s="32" t="n">
        <v>12989000000</v>
      </c>
      <c r="I4" s="31" t="inlineStr">
        <is>
          <t>10 دوره</t>
        </is>
      </c>
      <c r="J4" s="34" t="inlineStr">
        <is>
          <t>برگشتی فعال ۴.۲ میلیارد ریالی و سابقه ۱۰ دوره برگشتی در استعلام‌های تاریخی</t>
        </is>
      </c>
      <c r="K4" s="34" t="inlineStr">
        <is>
          <t>اخذ تضمین فرعی، پایش روزانه، عدم افزایش اعتبار و نظارت مستمر بر مبالغ در راه</t>
        </is>
      </c>
    </row>
    <row r="5">
      <c r="A5" s="31" t="n">
        <v>2</v>
      </c>
      <c r="B5" s="34" t="inlineStr">
        <is>
          <t>سیدجمال موسوی علی آبادی</t>
        </is>
      </c>
      <c r="C5" s="72" t="inlineStr">
        <is>
          <t>6510002647</t>
        </is>
      </c>
      <c r="D5" s="73" t="n">
        <v>45</v>
      </c>
      <c r="E5" s="31" t="inlineStr">
        <is>
          <t>مراقبت</t>
        </is>
      </c>
      <c r="F5" s="32" t="n">
        <v>3000000000</v>
      </c>
      <c r="G5" s="32" t="n">
        <v>2800000000</v>
      </c>
      <c r="H5" s="32" t="n">
        <v>35090000000</v>
      </c>
      <c r="I5" s="31" t="inlineStr">
        <is>
          <t>6 دوره</t>
        </is>
      </c>
      <c r="J5" s="34" t="inlineStr">
        <is>
          <t>برگشتی فعال ۱.۵ میلیارد ریالی، انتقال تعهد در راه به برگشتی و سابقه ۶ دوره برگشتی</t>
        </is>
      </c>
      <c r="K5" s="34" t="inlineStr">
        <is>
          <t>پایش روزانه، کنترل وصولی‌ها و عدم پذیرش چک جدید بدون وثیقه نقد</t>
        </is>
      </c>
    </row>
    <row r="6">
      <c r="A6" s="31" t="n">
        <v>3</v>
      </c>
      <c r="B6" s="34" t="inlineStr">
        <is>
          <t>میلاد دلجو</t>
        </is>
      </c>
      <c r="C6" s="72" t="inlineStr">
        <is>
          <t>2710183331</t>
        </is>
      </c>
      <c r="D6" s="73" t="n">
        <v>45</v>
      </c>
      <c r="E6" s="31" t="inlineStr">
        <is>
          <t>مراقبت</t>
        </is>
      </c>
      <c r="F6" s="32" t="n">
        <v>27500000000</v>
      </c>
      <c r="G6" s="32" t="n">
        <v>1326000000</v>
      </c>
      <c r="H6" s="32" t="n">
        <v>93388000000</v>
      </c>
      <c r="I6" s="31" t="inlineStr">
        <is>
          <t>8 دوره</t>
        </is>
      </c>
      <c r="J6" s="34" t="inlineStr">
        <is>
          <t>ریسک تمرکز بالای تعهدات نزد صندوق (۲۷.۵ میلیارد ریال) و برگشتی فعال ۱.۳۲۶ میلیارد ریالی</t>
        </is>
      </c>
      <c r="K6" s="34" t="inlineStr">
        <is>
          <t>اخذ تضمین فرعی، کنترل استعلام‌های آتی، پایش هفتگی و عدم افزایش تعهدات</t>
        </is>
      </c>
    </row>
    <row r="7">
      <c r="A7" s="31" t="n">
        <v>4</v>
      </c>
      <c r="B7" s="34" t="inlineStr">
        <is>
          <t>جواد غفوریان قالی باف</t>
        </is>
      </c>
      <c r="C7" s="72" t="inlineStr">
        <is>
          <t>0941314121</t>
        </is>
      </c>
      <c r="D7" s="73" t="n">
        <v>45</v>
      </c>
      <c r="E7" s="31" t="inlineStr">
        <is>
          <t>مراقبت</t>
        </is>
      </c>
      <c r="F7" s="32" t="n">
        <v>7000000000</v>
      </c>
      <c r="G7" s="32" t="n">
        <v>0</v>
      </c>
      <c r="H7" s="32" t="n">
        <v>28682000000</v>
      </c>
      <c r="I7" s="31" t="inlineStr">
        <is>
          <t>3 دوره</t>
        </is>
      </c>
      <c r="J7" s="34" t="inlineStr">
        <is>
          <t>دوره گذار پایش پس از تسویه ۱ میلیارد ریال چک برگشتی؛ اعمال کف ۴۵ مراقبت</t>
        </is>
      </c>
      <c r="K7" s="34" t="inlineStr">
        <is>
          <t>پایش روزانه، کنترل چک‌های در راه، عدم افزایش سقف اعتباری (دوره گذار پایش پس از تسویه)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5"/>
  <sheetViews>
    <sheetView rightToLeft="1" workbookViewId="0">
      <selection activeCell="A1" sqref="A1"/>
    </sheetView>
  </sheetViews>
  <sheetFormatPr baseColWidth="8" defaultRowHeight="15"/>
  <cols>
    <col width="65" customWidth="1" min="1" max="1"/>
    <col width="25" customWidth="1" min="2" max="2"/>
    <col width="20" customWidth="1" min="3" max="3"/>
    <col width="31" customWidth="1" min="4" max="4"/>
    <col width="30" customWidth="1" min="5" max="5"/>
    <col width="27" customWidth="1" min="6" max="6"/>
    <col width="28" customWidth="1" min="7" max="7"/>
    <col width="20" customWidth="1" min="8" max="8"/>
    <col width="27" customWidth="1" min="9" max="9"/>
    <col width="65" customWidth="1" min="10" max="10"/>
    <col width="12" customWidth="1" min="11" max="11"/>
  </cols>
  <sheetData>
    <row r="1">
      <c r="A1" s="1" t="inlineStr">
        <is>
          <t>مشتریان دارای روند بهبود و رفع سوءاثر مستند (Clearance &amp; Recovery)</t>
        </is>
      </c>
    </row>
    <row r="2">
      <c r="A2" s="2" t="inlineStr">
        <is>
          <t>صادرکنندگانی که کاهش مستند در مبالغ برگشتی و افزایش معادل در مبالغ رفع سوءاثر ثبت کرده‌اند (تسویه موفق)</t>
        </is>
      </c>
    </row>
    <row r="3">
      <c r="A3" s="74" t="inlineStr">
        <is>
          <t>ردیف</t>
        </is>
      </c>
      <c r="B3" s="74" t="inlineStr">
        <is>
          <t>نام صادرکننده</t>
        </is>
      </c>
      <c r="C3" s="74" t="inlineStr">
        <is>
          <t>کد ملی صادرکننده</t>
        </is>
      </c>
      <c r="D3" s="74" t="inlineStr">
        <is>
          <t>مبلغ رفع سوءاثر جدید (ریال)</t>
        </is>
      </c>
      <c r="E3" s="74" t="inlineStr">
        <is>
          <t>کاهش در مبلغ برگشتی (ریال)</t>
        </is>
      </c>
      <c r="F3" s="74" t="inlineStr">
        <is>
          <t>مبلغ فعلی برگشتی (ریال)</t>
        </is>
      </c>
      <c r="G3" s="74" t="inlineStr">
        <is>
          <t>مبلغ در راه بانکی (ریال)</t>
        </is>
      </c>
      <c r="H3" s="74" t="inlineStr">
        <is>
          <t>امتیاز فعلی ریسک</t>
        </is>
      </c>
      <c r="I3" s="74" t="inlineStr">
        <is>
          <t>وضعیت اعتباری سامانه</t>
        </is>
      </c>
      <c r="J3" s="74" t="inlineStr">
        <is>
          <t>مجوز تمدید و ارزیابی</t>
        </is>
      </c>
    </row>
    <row r="4">
      <c r="A4" s="31" t="n">
        <v>1</v>
      </c>
      <c r="B4" s="34" t="inlineStr">
        <is>
          <t>جواد غفوریان قالی باف</t>
        </is>
      </c>
      <c r="C4" s="72" t="inlineStr">
        <is>
          <t>0941314121</t>
        </is>
      </c>
      <c r="D4" s="32" t="n">
        <v>1000000000</v>
      </c>
      <c r="E4" s="32" t="n">
        <v>1000000000</v>
      </c>
      <c r="F4" s="32" t="n">
        <v>0</v>
      </c>
      <c r="G4" s="32" t="n">
        <v>28682000000</v>
      </c>
      <c r="H4" s="73" t="n">
        <v>45</v>
      </c>
      <c r="I4" s="63" t="inlineStr">
        <is>
          <t>دوره گذار پایش (مراقبت)</t>
        </is>
      </c>
      <c r="J4" s="34" t="inlineStr">
        <is>
          <t>تسویه اخیر ۱ میلیارد ریال؛ دوره گذار پایش، پایش روزانه، تثبیت سقف و ممنوعیت ارتقای تعهدات</t>
        </is>
      </c>
    </row>
    <row r="5">
      <c r="A5" s="26" t="n">
        <v>2</v>
      </c>
      <c r="B5" s="29" t="inlineStr">
        <is>
          <t>وحید اشرافیان</t>
        </is>
      </c>
      <c r="C5" s="75" t="inlineStr">
        <is>
          <t>0921320711</t>
        </is>
      </c>
      <c r="D5" s="27" t="n">
        <v>780000000</v>
      </c>
      <c r="E5" s="27" t="n">
        <v>170000000</v>
      </c>
      <c r="F5" s="27" t="n">
        <v>6247000000</v>
      </c>
      <c r="G5" s="27" t="n">
        <v>263677279312</v>
      </c>
      <c r="H5" s="76" t="n">
        <v>65</v>
      </c>
      <c r="I5" s="62" t="inlineStr">
        <is>
          <t>بهبود نسبی (پرریسک)</t>
        </is>
      </c>
      <c r="J5" s="29" t="inlineStr">
        <is>
          <t>بهبود نسبی، پایش روزانه، تثبیت سقف تسهیلات، درخواست تضمین تکمیلی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X14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9" customWidth="1" min="12" max="12"/>
    <col width="48" customWidth="1" min="13" max="13"/>
    <col width="14" customWidth="1" min="14" max="14"/>
    <col width="41" customWidth="1" min="15" max="15"/>
    <col width="12" customWidth="1" min="16" max="16"/>
    <col width="12" customWidth="1" min="17" max="17"/>
    <col width="38" customWidth="1" min="18" max="18"/>
    <col width="15" customWidth="1" min="19" max="19"/>
    <col width="12" customWidth="1" min="20" max="20"/>
    <col width="23" customWidth="1" min="21" max="21"/>
    <col width="12" customWidth="1" min="22" max="22"/>
    <col width="12" customWidth="1" min="23" max="23"/>
    <col width="17" customWidth="1" min="24" max="24"/>
  </cols>
  <sheetData>
    <row r="1">
      <c r="A1" s="4" t="inlineStr">
        <is>
          <t>KolCode</t>
        </is>
      </c>
      <c r="B1" s="4" t="inlineStr">
        <is>
          <t>چک|شماره</t>
        </is>
      </c>
      <c r="C1" s="4" t="inlineStr">
        <is>
          <t>چک|نوع</t>
        </is>
      </c>
      <c r="D1" s="4" t="inlineStr">
        <is>
          <t>Bank</t>
        </is>
      </c>
      <c r="E1" s="4" t="inlineStr">
        <is>
          <t>CodeIn</t>
        </is>
      </c>
      <c r="F1" s="4" t="inlineStr">
        <is>
          <t>IdRAdif</t>
        </is>
      </c>
      <c r="G1" s="4" t="inlineStr">
        <is>
          <t>سند|شماره</t>
        </is>
      </c>
      <c r="H1" s="4" t="inlineStr">
        <is>
          <t>سند|تاریخ</t>
        </is>
      </c>
      <c r="I1" s="4" t="inlineStr">
        <is>
          <t>Mode</t>
        </is>
      </c>
      <c r="J1" s="4" t="inlineStr">
        <is>
          <t>MoeCode</t>
        </is>
      </c>
      <c r="K1" s="4" t="inlineStr">
        <is>
          <t>چک|تاریخ</t>
        </is>
      </c>
      <c r="L1" s="4" t="inlineStr">
        <is>
          <t>چک|مبلغ</t>
        </is>
      </c>
      <c r="M1" s="4" t="inlineStr">
        <is>
          <t>چک|شرح</t>
        </is>
      </c>
      <c r="N1" s="4" t="inlineStr">
        <is>
          <t>Shahr_Code</t>
        </is>
      </c>
      <c r="O1" s="4" t="inlineStr">
        <is>
          <t>چک|بانک</t>
        </is>
      </c>
      <c r="P1" s="4" t="inlineStr">
        <is>
          <t>KolCode2</t>
        </is>
      </c>
      <c r="Q1" s="4" t="inlineStr">
        <is>
          <t>MoeCode2</t>
        </is>
      </c>
      <c r="R1" s="4" t="inlineStr">
        <is>
          <t>چک|در وجه</t>
        </is>
      </c>
      <c r="S1" s="4" t="inlineStr">
        <is>
          <t>DateDaryaft</t>
        </is>
      </c>
      <c r="T1" s="4" t="inlineStr">
        <is>
          <t>Selected</t>
        </is>
      </c>
      <c r="U1" s="4" t="inlineStr">
        <is>
          <t>SumKol</t>
        </is>
      </c>
      <c r="V1" s="4" t="inlineStr">
        <is>
          <t>Rang</t>
        </is>
      </c>
      <c r="W1" s="4" t="inlineStr">
        <is>
          <t>چک|نوع</t>
        </is>
      </c>
      <c r="X1" s="4" t="inlineStr">
        <is>
          <t>CodeMAvalDore</t>
        </is>
      </c>
    </row>
    <row r="2">
      <c r="A2" s="7" t="n">
        <v>1105</v>
      </c>
      <c r="B2" s="52" t="inlineStr">
        <is>
          <t>1113333</t>
        </is>
      </c>
      <c r="C2" s="7" t="inlineStr">
        <is>
          <t>c</t>
        </is>
      </c>
      <c r="D2" s="7" t="n">
        <v>1</v>
      </c>
      <c r="E2" s="7" t="n">
        <v>1933</v>
      </c>
      <c r="F2" s="7" t="n">
        <v>98201</v>
      </c>
      <c r="G2" s="7" t="n">
        <v>1403144</v>
      </c>
      <c r="H2" s="7" t="n">
        <v>14030520</v>
      </c>
      <c r="I2" s="7" t="n">
        <v>0</v>
      </c>
      <c r="J2" s="7" t="n">
        <v>1001</v>
      </c>
      <c r="K2" s="7" t="n">
        <v>14030901</v>
      </c>
      <c r="L2" s="13" t="n">
        <v>2000000000</v>
      </c>
      <c r="M2" s="8" t="inlineStr"/>
      <c r="N2" s="7" t="n">
        <v>0</v>
      </c>
      <c r="O2" s="8" t="inlineStr">
        <is>
          <t xml:space="preserve"> * قر سفته</t>
        </is>
      </c>
      <c r="P2" s="7" t="n">
        <v>1110</v>
      </c>
      <c r="Q2" s="7" t="n">
        <v>656</v>
      </c>
      <c r="R2" s="8" t="inlineStr">
        <is>
          <t>اميرحسين عليپور چک هاي برگشتي</t>
        </is>
      </c>
      <c r="S2" s="7" t="n">
        <v>14030520</v>
      </c>
      <c r="T2" s="7" t="b">
        <v>0</v>
      </c>
      <c r="U2" s="8" t="inlineStr">
        <is>
          <t>جمع 483,325,000,000</t>
        </is>
      </c>
      <c r="V2" s="7" t="n">
        <v>9721058</v>
      </c>
      <c r="W2" s="7" t="inlineStr">
        <is>
          <t>دريافتي</t>
        </is>
      </c>
      <c r="X2" s="7" t="n">
        <v>0</v>
      </c>
    </row>
    <row r="3">
      <c r="A3" s="11" t="n">
        <v>1105</v>
      </c>
      <c r="B3" s="49" t="inlineStr">
        <is>
          <t>057751</t>
        </is>
      </c>
      <c r="C3" s="11" t="inlineStr">
        <is>
          <t>c</t>
        </is>
      </c>
      <c r="D3" s="11" t="n">
        <v>11</v>
      </c>
      <c r="E3" s="11" t="n">
        <v>1931</v>
      </c>
      <c r="F3" s="11" t="n">
        <v>98053</v>
      </c>
      <c r="G3" s="11" t="n">
        <v>1403142</v>
      </c>
      <c r="H3" s="11" t="n">
        <v>14030518</v>
      </c>
      <c r="I3" s="11" t="n">
        <v>0</v>
      </c>
      <c r="J3" s="11" t="n">
        <v>1001</v>
      </c>
      <c r="K3" s="11" t="n">
        <v>14031220</v>
      </c>
      <c r="L3" s="14" t="n">
        <v>1060000000</v>
      </c>
      <c r="M3" s="12" t="inlineStr">
        <is>
          <t>2380030072556088</t>
        </is>
      </c>
      <c r="N3" s="11" t="n">
        <v>0</v>
      </c>
      <c r="O3" s="12" t="inlineStr">
        <is>
          <t xml:space="preserve"> * ايران زمين مفتح مشهد</t>
        </is>
      </c>
      <c r="P3" s="11" t="n">
        <v>1110</v>
      </c>
      <c r="Q3" s="11" t="n">
        <v>586</v>
      </c>
      <c r="R3" s="12" t="inlineStr">
        <is>
          <t xml:space="preserve">اميرحسين عليپور </t>
        </is>
      </c>
      <c r="S3" s="11" t="n">
        <v>14030518</v>
      </c>
      <c r="T3" s="11" t="b">
        <v>0</v>
      </c>
      <c r="U3" s="12" t="inlineStr">
        <is>
          <t>جمع 483,325,000,000</t>
        </is>
      </c>
      <c r="V3" s="11" t="n">
        <v>9721058</v>
      </c>
      <c r="W3" s="11" t="inlineStr">
        <is>
          <t>دريافتي</t>
        </is>
      </c>
      <c r="X3" s="11" t="n">
        <v>0</v>
      </c>
    </row>
    <row r="4">
      <c r="A4" s="7" t="n">
        <v>1105</v>
      </c>
      <c r="B4" s="52" t="inlineStr">
        <is>
          <t>180057</t>
        </is>
      </c>
      <c r="C4" s="7" t="inlineStr">
        <is>
          <t>c</t>
        </is>
      </c>
      <c r="D4" s="7" t="n">
        <v>3</v>
      </c>
      <c r="E4" s="7" t="n">
        <v>3052</v>
      </c>
      <c r="F4" s="7" t="n">
        <v>148447</v>
      </c>
      <c r="G4" s="7" t="n">
        <v>1404346</v>
      </c>
      <c r="H4" s="7" t="n">
        <v>14041210</v>
      </c>
      <c r="I4" s="7" t="n">
        <v>0</v>
      </c>
      <c r="J4" s="7" t="n">
        <v>1001</v>
      </c>
      <c r="K4" s="7" t="n">
        <v>14050501</v>
      </c>
      <c r="L4" s="13" t="n">
        <v>16000000000</v>
      </c>
      <c r="M4" s="8" t="inlineStr">
        <is>
          <t>5138040187866685</t>
        </is>
      </c>
      <c r="N4" s="7" t="n">
        <v>0</v>
      </c>
      <c r="O4" s="8" t="inlineStr">
        <is>
          <t xml:space="preserve"> * بانک ملي کوي المهدي</t>
        </is>
      </c>
      <c r="P4" s="7" t="n">
        <v>1110</v>
      </c>
      <c r="Q4" s="7" t="n">
        <v>689</v>
      </c>
      <c r="R4" s="8" t="inlineStr">
        <is>
          <t>ملک هاشميه</t>
        </is>
      </c>
      <c r="S4" s="7" t="n">
        <v>14041210</v>
      </c>
      <c r="T4" s="7" t="b">
        <v>0</v>
      </c>
      <c r="U4" s="8" t="inlineStr">
        <is>
          <t>جمع 483,325,000,000</t>
        </is>
      </c>
      <c r="V4" s="7" t="n">
        <v>7327703</v>
      </c>
      <c r="W4" s="7" t="inlineStr">
        <is>
          <t>دريافتي</t>
        </is>
      </c>
      <c r="X4" s="7" t="n">
        <v>0</v>
      </c>
    </row>
    <row r="5">
      <c r="A5" s="11" t="n">
        <v>1105</v>
      </c>
      <c r="B5" s="49" t="inlineStr">
        <is>
          <t>400697</t>
        </is>
      </c>
      <c r="C5" s="11" t="inlineStr">
        <is>
          <t>c</t>
        </is>
      </c>
      <c r="D5" s="11" t="n">
        <v>21</v>
      </c>
      <c r="E5" s="11" t="n">
        <v>3025</v>
      </c>
      <c r="F5" s="11" t="n">
        <v>147627</v>
      </c>
      <c r="G5" s="11" t="n">
        <v>1404334</v>
      </c>
      <c r="H5" s="11" t="n">
        <v>14041128</v>
      </c>
      <c r="I5" s="11" t="n">
        <v>0</v>
      </c>
      <c r="J5" s="11" t="n">
        <v>1001</v>
      </c>
      <c r="K5" s="11" t="n">
        <v>14050528</v>
      </c>
      <c r="L5" s="14" t="n">
        <v>1500000000</v>
      </c>
      <c r="M5" s="12" t="inlineStr">
        <is>
          <t>9147040164254882</t>
        </is>
      </c>
      <c r="N5" s="11" t="n">
        <v>0</v>
      </c>
      <c r="O5" s="12" t="inlineStr">
        <is>
          <t xml:space="preserve"> * قرض الحسنه رسالت بانکداري اجتماعي</t>
        </is>
      </c>
      <c r="P5" s="11" t="n">
        <v>1110</v>
      </c>
      <c r="Q5" s="11" t="n">
        <v>605</v>
      </c>
      <c r="R5" s="12" t="inlineStr">
        <is>
          <t>اقاي ضيافتي</t>
        </is>
      </c>
      <c r="S5" s="11" t="n">
        <v>14041128</v>
      </c>
      <c r="T5" s="11" t="b">
        <v>0</v>
      </c>
      <c r="U5" s="12" t="inlineStr">
        <is>
          <t>جمع 483,325,000,000</t>
        </is>
      </c>
      <c r="V5" s="11" t="n"/>
      <c r="W5" s="11" t="inlineStr">
        <is>
          <t>دريافتي</t>
        </is>
      </c>
      <c r="X5" s="11" t="n">
        <v>0</v>
      </c>
    </row>
    <row r="6">
      <c r="A6" s="7" t="n">
        <v>1105</v>
      </c>
      <c r="B6" s="52" t="inlineStr">
        <is>
          <t>695631</t>
        </is>
      </c>
      <c r="C6" s="7" t="inlineStr">
        <is>
          <t>c</t>
        </is>
      </c>
      <c r="D6" s="7" t="n">
        <v>10</v>
      </c>
      <c r="E6" s="7" t="n">
        <v>3215</v>
      </c>
      <c r="F6" s="7" t="n">
        <v>153919</v>
      </c>
      <c r="G6" s="7" t="n">
        <v>1405062</v>
      </c>
      <c r="H6" s="7" t="n">
        <v>14050231</v>
      </c>
      <c r="I6" s="7" t="n">
        <v>0</v>
      </c>
      <c r="J6" s="7" t="n">
        <v>1001</v>
      </c>
      <c r="K6" s="7" t="n">
        <v>14050530</v>
      </c>
      <c r="L6" s="13" t="n">
        <v>7500000000</v>
      </c>
      <c r="M6" s="8" t="inlineStr">
        <is>
          <t>9700040200262950</t>
        </is>
      </c>
      <c r="N6" s="7" t="n">
        <v>0</v>
      </c>
      <c r="O6" s="8" t="inlineStr">
        <is>
          <t xml:space="preserve"> * شهر ميدان راهنمايي مشهد</t>
        </is>
      </c>
      <c r="P6" s="7" t="n">
        <v>1110</v>
      </c>
      <c r="Q6" s="7" t="n">
        <v>605</v>
      </c>
      <c r="R6" s="8" t="inlineStr">
        <is>
          <t>اقاي ضيافتي</t>
        </is>
      </c>
      <c r="S6" s="7" t="n">
        <v>14050231</v>
      </c>
      <c r="T6" s="7" t="b">
        <v>0</v>
      </c>
      <c r="U6" s="8" t="inlineStr">
        <is>
          <t>جمع 483,325,000,000</t>
        </is>
      </c>
      <c r="V6" s="7" t="n"/>
      <c r="W6" s="7" t="inlineStr">
        <is>
          <t>دريافتي</t>
        </is>
      </c>
      <c r="X6" s="7" t="n">
        <v>0</v>
      </c>
    </row>
    <row r="7">
      <c r="A7" s="11" t="n">
        <v>1105</v>
      </c>
      <c r="B7" s="49" t="inlineStr">
        <is>
          <t>970083</t>
        </is>
      </c>
      <c r="C7" s="11" t="inlineStr">
        <is>
          <t>c</t>
        </is>
      </c>
      <c r="D7" s="11" t="n">
        <v>3</v>
      </c>
      <c r="E7" s="11" t="n">
        <v>2144</v>
      </c>
      <c r="F7" s="11" t="n">
        <v>111643</v>
      </c>
      <c r="G7" s="11" t="n">
        <v>1403281</v>
      </c>
      <c r="H7" s="11" t="n">
        <v>14031005</v>
      </c>
      <c r="I7" s="11" t="n">
        <v>0</v>
      </c>
      <c r="J7" s="11" t="n">
        <v>1001</v>
      </c>
      <c r="K7" s="11" t="n">
        <v>14050601</v>
      </c>
      <c r="L7" s="14" t="n">
        <v>5660000000</v>
      </c>
      <c r="M7" s="12" t="inlineStr">
        <is>
          <t>5080030099110169</t>
        </is>
      </c>
      <c r="N7" s="11" t="n">
        <v>0</v>
      </c>
      <c r="O7" s="12" t="inlineStr">
        <is>
          <t xml:space="preserve"> * بانک ملي کوي المهدي 8601</t>
        </is>
      </c>
      <c r="P7" s="11" t="n">
        <v>1110</v>
      </c>
      <c r="Q7" s="11" t="n">
        <v>689</v>
      </c>
      <c r="R7" s="12" t="inlineStr">
        <is>
          <t>ملک هاشميه</t>
        </is>
      </c>
      <c r="S7" s="11" t="n">
        <v>14031005</v>
      </c>
      <c r="T7" s="11" t="b">
        <v>0</v>
      </c>
      <c r="U7" s="12" t="inlineStr">
        <is>
          <t>جمع 483,325,000,000</t>
        </is>
      </c>
      <c r="V7" s="11" t="n">
        <v>0</v>
      </c>
      <c r="W7" s="11" t="inlineStr">
        <is>
          <t>دريافتي</t>
        </is>
      </c>
      <c r="X7" s="11" t="n">
        <v>0</v>
      </c>
    </row>
    <row r="8">
      <c r="A8" s="7" t="n">
        <v>1105</v>
      </c>
      <c r="B8" s="52" t="inlineStr">
        <is>
          <t>734272</t>
        </is>
      </c>
      <c r="C8" s="7" t="inlineStr">
        <is>
          <t>c</t>
        </is>
      </c>
      <c r="D8" s="7" t="n">
        <v>6</v>
      </c>
      <c r="E8" s="7" t="n">
        <v>3121</v>
      </c>
      <c r="F8" s="7" t="n">
        <v>151371</v>
      </c>
      <c r="G8" s="7" t="n">
        <v>1405030</v>
      </c>
      <c r="H8" s="7" t="n">
        <v>14050130</v>
      </c>
      <c r="I8" s="7" t="n">
        <v>0</v>
      </c>
      <c r="J8" s="7" t="n">
        <v>1001</v>
      </c>
      <c r="K8" s="7" t="n">
        <v>14050601</v>
      </c>
      <c r="L8" s="13" t="n">
        <v>9400000000</v>
      </c>
      <c r="M8" s="8" t="inlineStr">
        <is>
          <t>7515050006253687</t>
        </is>
      </c>
      <c r="N8" s="7" t="n">
        <v>0</v>
      </c>
      <c r="O8" s="8" t="inlineStr">
        <is>
          <t xml:space="preserve"> * رفاه هاشميه مشهد</t>
        </is>
      </c>
      <c r="P8" s="7" t="n">
        <v>1110</v>
      </c>
      <c r="Q8" s="7" t="n">
        <v>605</v>
      </c>
      <c r="R8" s="8" t="inlineStr">
        <is>
          <t>اقاي ضيافتي</t>
        </is>
      </c>
      <c r="S8" s="7" t="n">
        <v>14050130</v>
      </c>
      <c r="T8" s="7" t="b">
        <v>0</v>
      </c>
      <c r="U8" s="8" t="inlineStr">
        <is>
          <t>جمع 483,325,000,000</t>
        </is>
      </c>
      <c r="V8" s="7" t="n"/>
      <c r="W8" s="7" t="inlineStr">
        <is>
          <t>دريافتي</t>
        </is>
      </c>
      <c r="X8" s="7" t="n">
        <v>0</v>
      </c>
    </row>
    <row r="9">
      <c r="A9" s="11" t="n">
        <v>1105</v>
      </c>
      <c r="B9" s="49" t="inlineStr">
        <is>
          <t>793454</t>
        </is>
      </c>
      <c r="C9" s="11" t="inlineStr">
        <is>
          <t>c</t>
        </is>
      </c>
      <c r="D9" s="11" t="n">
        <v>3</v>
      </c>
      <c r="E9" s="11" t="n">
        <v>3233</v>
      </c>
      <c r="F9" s="11" t="n">
        <v>154817</v>
      </c>
      <c r="G9" s="11" t="n">
        <v>1405075</v>
      </c>
      <c r="H9" s="11" t="n">
        <v>14050313</v>
      </c>
      <c r="I9" s="11" t="n">
        <v>0</v>
      </c>
      <c r="J9" s="11" t="n">
        <v>1001</v>
      </c>
      <c r="K9" s="11" t="n">
        <v>14050601</v>
      </c>
      <c r="L9" s="14" t="n">
        <v>6000000000</v>
      </c>
      <c r="M9" s="12" t="inlineStr">
        <is>
          <t>7413040073308914</t>
        </is>
      </c>
      <c r="N9" s="11" t="n">
        <v>0</v>
      </c>
      <c r="O9" s="12" t="inlineStr">
        <is>
          <t xml:space="preserve"> * بانک ملي شهداي گمنام تربت حيدريه</t>
        </is>
      </c>
      <c r="P9" s="11" t="n">
        <v>1110</v>
      </c>
      <c r="Q9" s="11" t="n">
        <v>605</v>
      </c>
      <c r="R9" s="12" t="inlineStr">
        <is>
          <t>اقاي ضيافتي</t>
        </is>
      </c>
      <c r="S9" s="11" t="n">
        <v>14050313</v>
      </c>
      <c r="T9" s="11" t="b">
        <v>0</v>
      </c>
      <c r="U9" s="12" t="inlineStr">
        <is>
          <t>جمع 483,325,000,000</t>
        </is>
      </c>
      <c r="V9" s="11" t="n"/>
      <c r="W9" s="11" t="inlineStr">
        <is>
          <t>دريافتي</t>
        </is>
      </c>
      <c r="X9" s="11" t="n">
        <v>0</v>
      </c>
    </row>
    <row r="10">
      <c r="A10" s="7" t="n">
        <v>1105</v>
      </c>
      <c r="B10" s="52" t="inlineStr">
        <is>
          <t>14444</t>
        </is>
      </c>
      <c r="C10" s="7" t="inlineStr">
        <is>
          <t>c</t>
        </is>
      </c>
      <c r="D10" s="7" t="n">
        <v>12</v>
      </c>
      <c r="E10" s="7" t="n">
        <v>3316</v>
      </c>
      <c r="F10" s="7" t="n">
        <v>158191</v>
      </c>
      <c r="G10" s="7" t="n">
        <v>1405125</v>
      </c>
      <c r="H10" s="7" t="n">
        <v>14050501</v>
      </c>
      <c r="I10" s="7" t="n">
        <v>0</v>
      </c>
      <c r="J10" s="7" t="n">
        <v>1001</v>
      </c>
      <c r="K10" s="7" t="n">
        <v>14050601</v>
      </c>
      <c r="L10" s="13" t="n">
        <v>870000000</v>
      </c>
      <c r="M10" s="8" t="inlineStr"/>
      <c r="N10" s="7" t="n">
        <v>0</v>
      </c>
      <c r="O10" s="8" t="inlineStr">
        <is>
          <t xml:space="preserve"> * کشاورزي دکتر حسابي</t>
        </is>
      </c>
      <c r="P10" s="7" t="n">
        <v>1110</v>
      </c>
      <c r="Q10" s="7" t="n">
        <v>767</v>
      </c>
      <c r="R10" s="8" t="inlineStr">
        <is>
          <t>اقاي عليرضا يعقوبي خريدار تارا</t>
        </is>
      </c>
      <c r="S10" s="7" t="n">
        <v>14050501</v>
      </c>
      <c r="T10" s="7" t="b">
        <v>0</v>
      </c>
      <c r="U10" s="8" t="inlineStr">
        <is>
          <t>جمع 483,325,000,000</t>
        </is>
      </c>
      <c r="V10" s="7" t="n"/>
      <c r="W10" s="7" t="inlineStr">
        <is>
          <t>دريافتي</t>
        </is>
      </c>
      <c r="X10" s="7" t="n">
        <v>0</v>
      </c>
    </row>
    <row r="11">
      <c r="A11" s="11" t="n">
        <v>1105</v>
      </c>
      <c r="B11" s="49" t="inlineStr">
        <is>
          <t>135598</t>
        </is>
      </c>
      <c r="C11" s="11" t="inlineStr">
        <is>
          <t>c</t>
        </is>
      </c>
      <c r="D11" s="11" t="n">
        <v>21</v>
      </c>
      <c r="E11" s="11" t="n">
        <v>3343</v>
      </c>
      <c r="F11" s="11" t="n">
        <v>158997</v>
      </c>
      <c r="G11" s="11" t="n">
        <v>1405135</v>
      </c>
      <c r="H11" s="11" t="n">
        <v>14050511</v>
      </c>
      <c r="I11" s="11" t="n">
        <v>0</v>
      </c>
      <c r="J11" s="11" t="n">
        <v>1001</v>
      </c>
      <c r="K11" s="11" t="n">
        <v>14050601</v>
      </c>
      <c r="L11" s="14" t="n">
        <v>1000000000</v>
      </c>
      <c r="M11" s="12" t="inlineStr">
        <is>
          <t>8140050019357728</t>
        </is>
      </c>
      <c r="N11" s="11" t="n">
        <v>0</v>
      </c>
      <c r="O11" s="12" t="inlineStr">
        <is>
          <t xml:space="preserve"> * قرض الحسنه رسالت بانکداري اجتماعي</t>
        </is>
      </c>
      <c r="P11" s="11" t="n">
        <v>1110</v>
      </c>
      <c r="Q11" s="11" t="n">
        <v>596</v>
      </c>
      <c r="R11" s="12" t="inlineStr">
        <is>
          <t>مرتضي پيروزيان</t>
        </is>
      </c>
      <c r="S11" s="11" t="n">
        <v>14050511</v>
      </c>
      <c r="T11" s="11" t="b">
        <v>0</v>
      </c>
      <c r="U11" s="12" t="inlineStr">
        <is>
          <t>جمع 483,325,000,000</t>
        </is>
      </c>
      <c r="V11" s="11" t="n"/>
      <c r="W11" s="11" t="inlineStr">
        <is>
          <t>دريافتي</t>
        </is>
      </c>
      <c r="X11" s="11" t="n">
        <v>0</v>
      </c>
    </row>
    <row r="12">
      <c r="A12" s="7" t="n">
        <v>1105</v>
      </c>
      <c r="B12" s="52" t="inlineStr">
        <is>
          <t>810231</t>
        </is>
      </c>
      <c r="C12" s="7" t="inlineStr">
        <is>
          <t>c</t>
        </is>
      </c>
      <c r="D12" s="7" t="n">
        <v>9</v>
      </c>
      <c r="E12" s="7" t="n">
        <v>3297</v>
      </c>
      <c r="F12" s="7" t="n">
        <v>157413</v>
      </c>
      <c r="G12" s="7" t="n">
        <v>1405114</v>
      </c>
      <c r="H12" s="7" t="n">
        <v>14050421</v>
      </c>
      <c r="I12" s="7" t="n">
        <v>0</v>
      </c>
      <c r="J12" s="7" t="n">
        <v>1001</v>
      </c>
      <c r="K12" s="7" t="n">
        <v>14050602</v>
      </c>
      <c r="L12" s="13" t="n">
        <v>2000000000</v>
      </c>
      <c r="M12" s="8" t="inlineStr">
        <is>
          <t>2011030010355250</t>
        </is>
      </c>
      <c r="N12" s="7" t="n">
        <v>0</v>
      </c>
      <c r="O12" s="8" t="inlineStr">
        <is>
          <t xml:space="preserve"> * صادرات صفاشم</t>
        </is>
      </c>
      <c r="P12" s="7" t="n">
        <v>1110</v>
      </c>
      <c r="Q12" s="7" t="n">
        <v>605</v>
      </c>
      <c r="R12" s="8" t="inlineStr">
        <is>
          <t>اقاي ضيافتي</t>
        </is>
      </c>
      <c r="S12" s="7" t="n">
        <v>14050421</v>
      </c>
      <c r="T12" s="7" t="b">
        <v>0</v>
      </c>
      <c r="U12" s="8" t="inlineStr">
        <is>
          <t>جمع 483,325,000,000</t>
        </is>
      </c>
      <c r="V12" s="7" t="n"/>
      <c r="W12" s="7" t="inlineStr">
        <is>
          <t>دريافتي</t>
        </is>
      </c>
      <c r="X12" s="7" t="n">
        <v>0</v>
      </c>
    </row>
    <row r="13">
      <c r="A13" s="11" t="n">
        <v>1105</v>
      </c>
      <c r="B13" s="49" t="inlineStr">
        <is>
          <t>239933</t>
        </is>
      </c>
      <c r="C13" s="11" t="inlineStr">
        <is>
          <t>c</t>
        </is>
      </c>
      <c r="D13" s="11" t="n">
        <v>12</v>
      </c>
      <c r="E13" s="11" t="n">
        <v>3318</v>
      </c>
      <c r="F13" s="11" t="n">
        <v>158299</v>
      </c>
      <c r="G13" s="11" t="n">
        <v>1405127</v>
      </c>
      <c r="H13" s="11" t="n">
        <v>14050503</v>
      </c>
      <c r="I13" s="11" t="n">
        <v>0</v>
      </c>
      <c r="J13" s="11" t="n">
        <v>1001</v>
      </c>
      <c r="K13" s="11" t="n">
        <v>14050603</v>
      </c>
      <c r="L13" s="14" t="n">
        <v>1000000000</v>
      </c>
      <c r="M13" s="12" t="inlineStr">
        <is>
          <t>2679040061560087</t>
        </is>
      </c>
      <c r="N13" s="11" t="n">
        <v>0</v>
      </c>
      <c r="O13" s="12" t="inlineStr">
        <is>
          <t xml:space="preserve"> * کشاورزي شريعتي</t>
        </is>
      </c>
      <c r="P13" s="11" t="n">
        <v>1110</v>
      </c>
      <c r="Q13" s="11" t="n">
        <v>605</v>
      </c>
      <c r="R13" s="12" t="inlineStr">
        <is>
          <t>اقاي ضيافتي</t>
        </is>
      </c>
      <c r="S13" s="11" t="n">
        <v>14050503</v>
      </c>
      <c r="T13" s="11" t="b">
        <v>0</v>
      </c>
      <c r="U13" s="12" t="inlineStr">
        <is>
          <t>جمع 483,325,000,000</t>
        </is>
      </c>
      <c r="V13" s="11" t="n"/>
      <c r="W13" s="11" t="inlineStr">
        <is>
          <t>دريافتي</t>
        </is>
      </c>
      <c r="X13" s="11" t="n">
        <v>0</v>
      </c>
    </row>
    <row r="14">
      <c r="A14" s="7" t="n">
        <v>1105</v>
      </c>
      <c r="B14" s="52" t="inlineStr">
        <is>
          <t>189764</t>
        </is>
      </c>
      <c r="C14" s="7" t="inlineStr">
        <is>
          <t>c</t>
        </is>
      </c>
      <c r="D14" s="7" t="n">
        <v>3</v>
      </c>
      <c r="E14" s="7" t="n">
        <v>2902</v>
      </c>
      <c r="F14" s="7" t="n">
        <v>142719</v>
      </c>
      <c r="G14" s="7" t="n">
        <v>1404268</v>
      </c>
      <c r="H14" s="7" t="n">
        <v>14040922</v>
      </c>
      <c r="I14" s="7" t="n">
        <v>0</v>
      </c>
      <c r="J14" s="7" t="n">
        <v>1001</v>
      </c>
      <c r="K14" s="7" t="n">
        <v>14050605</v>
      </c>
      <c r="L14" s="13" t="n">
        <v>3100000000</v>
      </c>
      <c r="M14" s="8" t="inlineStr">
        <is>
          <t>1748040121634559</t>
        </is>
      </c>
      <c r="N14" s="7" t="n">
        <v>0</v>
      </c>
      <c r="O14" s="8" t="inlineStr">
        <is>
          <t xml:space="preserve"> * بانک ملي کوي المهدي</t>
        </is>
      </c>
      <c r="P14" s="7" t="n">
        <v>1110</v>
      </c>
      <c r="Q14" s="7" t="n">
        <v>605</v>
      </c>
      <c r="R14" s="8" t="inlineStr">
        <is>
          <t>اقاي ضيافتي</t>
        </is>
      </c>
      <c r="S14" s="7" t="n">
        <v>14040922</v>
      </c>
      <c r="T14" s="7" t="b">
        <v>0</v>
      </c>
      <c r="U14" s="8" t="inlineStr">
        <is>
          <t>جمع 483,325,000,000</t>
        </is>
      </c>
      <c r="V14" s="7" t="n"/>
      <c r="W14" s="7" t="inlineStr">
        <is>
          <t>دريافتي</t>
        </is>
      </c>
      <c r="X14" s="7" t="n">
        <v>0</v>
      </c>
    </row>
    <row r="15">
      <c r="A15" s="11" t="n">
        <v>1105</v>
      </c>
      <c r="B15" s="49" t="inlineStr">
        <is>
          <t>756139</t>
        </is>
      </c>
      <c r="C15" s="11" t="inlineStr">
        <is>
          <t>c</t>
        </is>
      </c>
      <c r="D15" s="11" t="n">
        <v>9</v>
      </c>
      <c r="E15" s="11" t="n">
        <v>3217</v>
      </c>
      <c r="F15" s="11" t="n">
        <v>153927</v>
      </c>
      <c r="G15" s="11" t="n">
        <v>1405062</v>
      </c>
      <c r="H15" s="11" t="n">
        <v>14050231</v>
      </c>
      <c r="I15" s="11" t="n">
        <v>0</v>
      </c>
      <c r="J15" s="11" t="n">
        <v>1001</v>
      </c>
      <c r="K15" s="11" t="n">
        <v>14050605</v>
      </c>
      <c r="L15" s="14" t="n">
        <v>895000000</v>
      </c>
      <c r="M15" s="12" t="inlineStr">
        <is>
          <t>3778020108164326</t>
        </is>
      </c>
      <c r="N15" s="11" t="n">
        <v>0</v>
      </c>
      <c r="O15" s="12" t="inlineStr">
        <is>
          <t xml:space="preserve"> * صادرات کوي اب و برق</t>
        </is>
      </c>
      <c r="P15" s="11" t="n">
        <v>1110</v>
      </c>
      <c r="Q15" s="11" t="n">
        <v>605</v>
      </c>
      <c r="R15" s="12" t="inlineStr">
        <is>
          <t>اقاي ضيافتي</t>
        </is>
      </c>
      <c r="S15" s="11" t="n">
        <v>14050231</v>
      </c>
      <c r="T15" s="11" t="b">
        <v>0</v>
      </c>
      <c r="U15" s="12" t="inlineStr">
        <is>
          <t>جمع 483,325,000,000</t>
        </is>
      </c>
      <c r="V15" s="11" t="n"/>
      <c r="W15" s="11" t="inlineStr">
        <is>
          <t>دريافتي</t>
        </is>
      </c>
      <c r="X15" s="11" t="n">
        <v>0</v>
      </c>
    </row>
    <row r="16">
      <c r="A16" s="7" t="n">
        <v>1105</v>
      </c>
      <c r="B16" s="52" t="inlineStr">
        <is>
          <t>030616</t>
        </is>
      </c>
      <c r="C16" s="7" t="inlineStr">
        <is>
          <t>c</t>
        </is>
      </c>
      <c r="D16" s="7" t="n">
        <v>14</v>
      </c>
      <c r="E16" s="7" t="n">
        <v>3149</v>
      </c>
      <c r="F16" s="7" t="n">
        <v>151905</v>
      </c>
      <c r="G16" s="7" t="n">
        <v>1405037</v>
      </c>
      <c r="H16" s="7" t="n">
        <v>14050206</v>
      </c>
      <c r="I16" s="7" t="n">
        <v>0</v>
      </c>
      <c r="J16" s="7" t="n">
        <v>1001</v>
      </c>
      <c r="K16" s="7" t="n">
        <v>14050606</v>
      </c>
      <c r="L16" s="13" t="n">
        <v>1160000000</v>
      </c>
      <c r="M16" s="8" t="inlineStr">
        <is>
          <t>5561040153416463</t>
        </is>
      </c>
      <c r="N16" s="7" t="n">
        <v>0</v>
      </c>
      <c r="O16" s="8" t="inlineStr">
        <is>
          <t xml:space="preserve"> * سپه سيدي مشهد</t>
        </is>
      </c>
      <c r="P16" s="7" t="n">
        <v>1110</v>
      </c>
      <c r="Q16" s="7" t="n">
        <v>605</v>
      </c>
      <c r="R16" s="8" t="inlineStr">
        <is>
          <t>اقاي ضيافتي</t>
        </is>
      </c>
      <c r="S16" s="7" t="n">
        <v>14050206</v>
      </c>
      <c r="T16" s="7" t="b">
        <v>0</v>
      </c>
      <c r="U16" s="8" t="inlineStr">
        <is>
          <t>جمع 483,325,000,000</t>
        </is>
      </c>
      <c r="V16" s="7" t="n"/>
      <c r="W16" s="7" t="inlineStr">
        <is>
          <t>دريافتي</t>
        </is>
      </c>
      <c r="X16" s="7" t="n">
        <v>0</v>
      </c>
    </row>
    <row r="17">
      <c r="A17" s="11" t="n">
        <v>1105</v>
      </c>
      <c r="B17" s="49" t="inlineStr">
        <is>
          <t>804984</t>
        </is>
      </c>
      <c r="C17" s="11" t="inlineStr">
        <is>
          <t>c</t>
        </is>
      </c>
      <c r="D17" s="11" t="n">
        <v>14</v>
      </c>
      <c r="E17" s="11" t="n">
        <v>2997</v>
      </c>
      <c r="F17" s="11" t="n">
        <v>145985</v>
      </c>
      <c r="G17" s="11" t="n">
        <v>1404312</v>
      </c>
      <c r="H17" s="11" t="n">
        <v>14041106</v>
      </c>
      <c r="I17" s="11" t="n">
        <v>0</v>
      </c>
      <c r="J17" s="11" t="n">
        <v>1001</v>
      </c>
      <c r="K17" s="11" t="n">
        <v>14050610</v>
      </c>
      <c r="L17" s="14" t="n">
        <v>1380000000</v>
      </c>
      <c r="M17" s="12" t="inlineStr">
        <is>
          <t>1907030071639288</t>
        </is>
      </c>
      <c r="N17" s="11" t="n">
        <v>0</v>
      </c>
      <c r="O17" s="12" t="inlineStr">
        <is>
          <t xml:space="preserve"> * سپه امام رضا فريمان</t>
        </is>
      </c>
      <c r="P17" s="11" t="n">
        <v>1110</v>
      </c>
      <c r="Q17" s="11" t="n">
        <v>605</v>
      </c>
      <c r="R17" s="12" t="inlineStr">
        <is>
          <t>اقاي ضيافتي</t>
        </is>
      </c>
      <c r="S17" s="11" t="n">
        <v>14041106</v>
      </c>
      <c r="T17" s="11" t="b">
        <v>0</v>
      </c>
      <c r="U17" s="12" t="inlineStr">
        <is>
          <t>جمع 483,325,000,000</t>
        </is>
      </c>
      <c r="V17" s="11" t="n"/>
      <c r="W17" s="11" t="inlineStr">
        <is>
          <t>دريافتي</t>
        </is>
      </c>
      <c r="X17" s="11" t="n">
        <v>0</v>
      </c>
    </row>
    <row r="18">
      <c r="A18" s="7" t="n">
        <v>1105</v>
      </c>
      <c r="B18" s="52" t="inlineStr">
        <is>
          <t>66666</t>
        </is>
      </c>
      <c r="C18" s="7" t="inlineStr">
        <is>
          <t>c</t>
        </is>
      </c>
      <c r="D18" s="7" t="n">
        <v>3</v>
      </c>
      <c r="E18" s="7" t="n">
        <v>3236</v>
      </c>
      <c r="F18" s="7" t="n">
        <v>154883</v>
      </c>
      <c r="G18" s="7" t="n">
        <v>1405078</v>
      </c>
      <c r="H18" s="7" t="n">
        <v>14050316</v>
      </c>
      <c r="I18" s="7" t="n">
        <v>0</v>
      </c>
      <c r="J18" s="7" t="n">
        <v>1001</v>
      </c>
      <c r="K18" s="7" t="n">
        <v>14050610</v>
      </c>
      <c r="L18" s="13" t="n">
        <v>1400000000</v>
      </c>
      <c r="M18" s="8" t="inlineStr">
        <is>
          <t>چک تمديد احمد زحمتکش</t>
        </is>
      </c>
      <c r="N18" s="7" t="n">
        <v>0</v>
      </c>
      <c r="O18" s="8" t="inlineStr">
        <is>
          <t xml:space="preserve"> * بانک ملي کوي المهدي </t>
        </is>
      </c>
      <c r="P18" s="7" t="n">
        <v>1110</v>
      </c>
      <c r="Q18" s="7" t="n">
        <v>605</v>
      </c>
      <c r="R18" s="8" t="inlineStr">
        <is>
          <t>اقاي ضيافتي</t>
        </is>
      </c>
      <c r="S18" s="7" t="n">
        <v>14050316</v>
      </c>
      <c r="T18" s="7" t="b">
        <v>0</v>
      </c>
      <c r="U18" s="8" t="inlineStr">
        <is>
          <t>جمع 483,325,000,000</t>
        </is>
      </c>
      <c r="V18" s="7" t="n"/>
      <c r="W18" s="7" t="inlineStr">
        <is>
          <t>دريافتي</t>
        </is>
      </c>
      <c r="X18" s="7" t="n">
        <v>0</v>
      </c>
    </row>
    <row r="19">
      <c r="A19" s="11" t="n">
        <v>1105</v>
      </c>
      <c r="B19" s="49" t="inlineStr">
        <is>
          <t>902051</t>
        </is>
      </c>
      <c r="C19" s="11" t="inlineStr">
        <is>
          <t>c</t>
        </is>
      </c>
      <c r="D19" s="11" t="n">
        <v>14</v>
      </c>
      <c r="E19" s="11" t="n">
        <v>3285</v>
      </c>
      <c r="F19" s="11" t="n">
        <v>156667</v>
      </c>
      <c r="G19" s="11" t="n">
        <v>1405103</v>
      </c>
      <c r="H19" s="11" t="n">
        <v>14050410</v>
      </c>
      <c r="I19" s="11" t="n">
        <v>0</v>
      </c>
      <c r="J19" s="11" t="n">
        <v>1001</v>
      </c>
      <c r="K19" s="11" t="n">
        <v>14050610</v>
      </c>
      <c r="L19" s="14" t="n">
        <v>6200000000</v>
      </c>
      <c r="M19" s="12" t="inlineStr">
        <is>
          <t>5560050044994051</t>
        </is>
      </c>
      <c r="N19" s="11" t="n">
        <v>0</v>
      </c>
      <c r="O19" s="12" t="inlineStr">
        <is>
          <t xml:space="preserve"> * سپه بلوار فرودگاه</t>
        </is>
      </c>
      <c r="P19" s="11" t="n">
        <v>1110</v>
      </c>
      <c r="Q19" s="11" t="n">
        <v>605</v>
      </c>
      <c r="R19" s="12" t="inlineStr">
        <is>
          <t>اقاي ضيافتي</t>
        </is>
      </c>
      <c r="S19" s="11" t="n">
        <v>14050410</v>
      </c>
      <c r="T19" s="11" t="b">
        <v>0</v>
      </c>
      <c r="U19" s="12" t="inlineStr">
        <is>
          <t>جمع 483,325,000,000</t>
        </is>
      </c>
      <c r="V19" s="11" t="n"/>
      <c r="W19" s="11" t="inlineStr">
        <is>
          <t>دريافتي</t>
        </is>
      </c>
      <c r="X19" s="11" t="n">
        <v>0</v>
      </c>
    </row>
    <row r="20">
      <c r="A20" s="7" t="n">
        <v>1105</v>
      </c>
      <c r="B20" s="52" t="inlineStr">
        <is>
          <t>6288190</t>
        </is>
      </c>
      <c r="C20" s="7" t="inlineStr">
        <is>
          <t>c</t>
        </is>
      </c>
      <c r="D20" s="7" t="n">
        <v>22</v>
      </c>
      <c r="E20" s="7" t="n">
        <v>3311</v>
      </c>
      <c r="F20" s="7" t="n">
        <v>157453</v>
      </c>
      <c r="G20" s="7" t="n">
        <v>1405115</v>
      </c>
      <c r="H20" s="7" t="n">
        <v>14050422</v>
      </c>
      <c r="I20" s="7" t="n">
        <v>0</v>
      </c>
      <c r="J20" s="7" t="n">
        <v>1001</v>
      </c>
      <c r="K20" s="7" t="n">
        <v>14050610</v>
      </c>
      <c r="L20" s="13" t="n">
        <v>3700000000</v>
      </c>
      <c r="M20" s="8" t="inlineStr">
        <is>
          <t>6919040140728884</t>
        </is>
      </c>
      <c r="N20" s="7" t="n">
        <v>0</v>
      </c>
      <c r="O20" s="8" t="inlineStr">
        <is>
          <t xml:space="preserve"> * پست بانک ايران مرکزي مشهد</t>
        </is>
      </c>
      <c r="P20" s="7" t="n">
        <v>1110</v>
      </c>
      <c r="Q20" s="7" t="n">
        <v>605</v>
      </c>
      <c r="R20" s="8" t="inlineStr">
        <is>
          <t>اقاي ضيافتي</t>
        </is>
      </c>
      <c r="S20" s="7" t="n">
        <v>14050422</v>
      </c>
      <c r="T20" s="7" t="b">
        <v>0</v>
      </c>
      <c r="U20" s="8" t="inlineStr">
        <is>
          <t>جمع 483,325,000,000</t>
        </is>
      </c>
      <c r="V20" s="7" t="n"/>
      <c r="W20" s="7" t="inlineStr">
        <is>
          <t>دريافتي</t>
        </is>
      </c>
      <c r="X20" s="7" t="n">
        <v>0</v>
      </c>
    </row>
    <row r="21">
      <c r="A21" s="11" t="n">
        <v>1105</v>
      </c>
      <c r="B21" s="49" t="inlineStr">
        <is>
          <t>327252</t>
        </is>
      </c>
      <c r="C21" s="11" t="inlineStr">
        <is>
          <t>c</t>
        </is>
      </c>
      <c r="D21" s="11" t="n">
        <v>9</v>
      </c>
      <c r="E21" s="11" t="n">
        <v>3247</v>
      </c>
      <c r="F21" s="11" t="n">
        <v>155055</v>
      </c>
      <c r="G21" s="11" t="n">
        <v>1405079</v>
      </c>
      <c r="H21" s="11" t="n">
        <v>14050317</v>
      </c>
      <c r="I21" s="11" t="n">
        <v>0</v>
      </c>
      <c r="J21" s="11" t="n">
        <v>1001</v>
      </c>
      <c r="K21" s="11" t="n">
        <v>14050611</v>
      </c>
      <c r="L21" s="14" t="n">
        <v>400000000</v>
      </c>
      <c r="M21" s="12" t="inlineStr">
        <is>
          <t>889304019406437</t>
        </is>
      </c>
      <c r="N21" s="11" t="n">
        <v>0</v>
      </c>
      <c r="O21" s="12" t="inlineStr">
        <is>
          <t xml:space="preserve"> * صادرات معلم</t>
        </is>
      </c>
      <c r="P21" s="11" t="n">
        <v>1110</v>
      </c>
      <c r="Q21" s="11" t="n">
        <v>9</v>
      </c>
      <c r="R21" s="12" t="inlineStr">
        <is>
          <t>آقاي مرتضي موذن</t>
        </is>
      </c>
      <c r="S21" s="11" t="n">
        <v>14050317</v>
      </c>
      <c r="T21" s="11" t="b">
        <v>0</v>
      </c>
      <c r="U21" s="12" t="inlineStr">
        <is>
          <t>جمع 483,325,000,000</t>
        </is>
      </c>
      <c r="V21" s="11" t="n"/>
      <c r="W21" s="11" t="inlineStr">
        <is>
          <t>دريافتي</t>
        </is>
      </c>
      <c r="X21" s="11" t="n">
        <v>0</v>
      </c>
    </row>
    <row r="22">
      <c r="A22" s="7" t="n">
        <v>1105</v>
      </c>
      <c r="B22" s="52" t="inlineStr">
        <is>
          <t>400696</t>
        </is>
      </c>
      <c r="C22" s="7" t="inlineStr">
        <is>
          <t>c</t>
        </is>
      </c>
      <c r="D22" s="7" t="n">
        <v>21</v>
      </c>
      <c r="E22" s="7" t="n">
        <v>3024</v>
      </c>
      <c r="F22" s="7" t="n">
        <v>147625</v>
      </c>
      <c r="G22" s="7" t="n">
        <v>1404334</v>
      </c>
      <c r="H22" s="7" t="n">
        <v>14041128</v>
      </c>
      <c r="I22" s="7" t="n">
        <v>0</v>
      </c>
      <c r="J22" s="7" t="n">
        <v>1001</v>
      </c>
      <c r="K22" s="7" t="n">
        <v>14050612</v>
      </c>
      <c r="L22" s="13" t="n">
        <v>1500000000</v>
      </c>
      <c r="M22" s="8" t="inlineStr">
        <is>
          <t>4946040164254881</t>
        </is>
      </c>
      <c r="N22" s="7" t="n">
        <v>0</v>
      </c>
      <c r="O22" s="8" t="inlineStr">
        <is>
          <t xml:space="preserve"> * قرض الحسنه رسالت بانکداري اجتماعيي</t>
        </is>
      </c>
      <c r="P22" s="7" t="n">
        <v>1110</v>
      </c>
      <c r="Q22" s="7" t="n">
        <v>605</v>
      </c>
      <c r="R22" s="8" t="inlineStr">
        <is>
          <t>اقاي ضيافتي</t>
        </is>
      </c>
      <c r="S22" s="7" t="n">
        <v>14041128</v>
      </c>
      <c r="T22" s="7" t="b">
        <v>0</v>
      </c>
      <c r="U22" s="8" t="inlineStr">
        <is>
          <t>جمع 483,325,000,000</t>
        </is>
      </c>
      <c r="V22" s="7" t="n"/>
      <c r="W22" s="7" t="inlineStr">
        <is>
          <t>دريافتي</t>
        </is>
      </c>
      <c r="X22" s="7" t="n">
        <v>0</v>
      </c>
    </row>
    <row r="23">
      <c r="A23" s="11" t="n">
        <v>1105</v>
      </c>
      <c r="B23" s="49" t="inlineStr">
        <is>
          <t>585355</t>
        </is>
      </c>
      <c r="C23" s="11" t="inlineStr">
        <is>
          <t>c</t>
        </is>
      </c>
      <c r="D23" s="11" t="n">
        <v>22</v>
      </c>
      <c r="E23" s="11" t="n">
        <v>3231</v>
      </c>
      <c r="F23" s="11" t="n">
        <v>154543</v>
      </c>
      <c r="G23" s="11" t="n">
        <v>1405072</v>
      </c>
      <c r="H23" s="11" t="n">
        <v>14050310</v>
      </c>
      <c r="I23" s="11" t="n">
        <v>0</v>
      </c>
      <c r="J23" s="11" t="n">
        <v>1001</v>
      </c>
      <c r="K23" s="11" t="n">
        <v>14050615</v>
      </c>
      <c r="L23" s="14" t="n">
        <v>580000000</v>
      </c>
      <c r="M23" s="12" t="inlineStr">
        <is>
          <t>6925050025745299</t>
        </is>
      </c>
      <c r="N23" s="11" t="n">
        <v>0</v>
      </c>
      <c r="O23" s="12" t="inlineStr">
        <is>
          <t xml:space="preserve"> * پست بانک ايران مرکزي مشهد</t>
        </is>
      </c>
      <c r="P23" s="11" t="n">
        <v>1110</v>
      </c>
      <c r="Q23" s="11" t="n">
        <v>731</v>
      </c>
      <c r="R23" s="12" t="inlineStr">
        <is>
          <t>اشرافيان و دشت بياض</t>
        </is>
      </c>
      <c r="S23" s="11" t="n">
        <v>14050310</v>
      </c>
      <c r="T23" s="11" t="b">
        <v>0</v>
      </c>
      <c r="U23" s="12" t="inlineStr">
        <is>
          <t>جمع 483,325,000,000</t>
        </is>
      </c>
      <c r="V23" s="11" t="n"/>
      <c r="W23" s="11" t="inlineStr">
        <is>
          <t>دريافتي</t>
        </is>
      </c>
      <c r="X23" s="11" t="n">
        <v>0</v>
      </c>
    </row>
    <row r="24">
      <c r="A24" s="7" t="n">
        <v>1105</v>
      </c>
      <c r="B24" s="52" t="inlineStr">
        <is>
          <t>824586</t>
        </is>
      </c>
      <c r="C24" s="7" t="inlineStr">
        <is>
          <t>c</t>
        </is>
      </c>
      <c r="D24" s="7" t="n">
        <v>9</v>
      </c>
      <c r="E24" s="7" t="n">
        <v>2622</v>
      </c>
      <c r="F24" s="7" t="n">
        <v>131697</v>
      </c>
      <c r="G24" s="7" t="n">
        <v>1404175</v>
      </c>
      <c r="H24" s="7" t="n">
        <v>14040620</v>
      </c>
      <c r="I24" s="7" t="n">
        <v>0</v>
      </c>
      <c r="J24" s="7" t="n">
        <v>1001</v>
      </c>
      <c r="K24" s="7" t="n">
        <v>14050616</v>
      </c>
      <c r="L24" s="13" t="n">
        <v>2670000000</v>
      </c>
      <c r="M24" s="8" t="inlineStr">
        <is>
          <t>7740040056179003</t>
        </is>
      </c>
      <c r="N24" s="7" t="n">
        <v>0</v>
      </c>
      <c r="O24" s="8" t="inlineStr">
        <is>
          <t xml:space="preserve"> * صادرات سيدي</t>
        </is>
      </c>
      <c r="P24" s="7" t="n">
        <v>1110</v>
      </c>
      <c r="Q24" s="7" t="n">
        <v>605</v>
      </c>
      <c r="R24" s="8" t="inlineStr">
        <is>
          <t>اقاي ضيافتي</t>
        </is>
      </c>
      <c r="S24" s="7" t="n">
        <v>14040620</v>
      </c>
      <c r="T24" s="7" t="b">
        <v>0</v>
      </c>
      <c r="U24" s="8" t="inlineStr">
        <is>
          <t>جمع 483,325,000,000</t>
        </is>
      </c>
      <c r="V24" s="7" t="n"/>
      <c r="W24" s="7" t="inlineStr">
        <is>
          <t>دريافتي</t>
        </is>
      </c>
      <c r="X24" s="7" t="n">
        <v>0</v>
      </c>
    </row>
    <row r="25">
      <c r="A25" s="11" t="n">
        <v>1105</v>
      </c>
      <c r="B25" s="49" t="inlineStr">
        <is>
          <t>412972</t>
        </is>
      </c>
      <c r="C25" s="11" t="inlineStr">
        <is>
          <t>c</t>
        </is>
      </c>
      <c r="D25" s="11" t="n">
        <v>14</v>
      </c>
      <c r="E25" s="11" t="n">
        <v>3235</v>
      </c>
      <c r="F25" s="11" t="n">
        <v>154865</v>
      </c>
      <c r="G25" s="11" t="n">
        <v>1405078</v>
      </c>
      <c r="H25" s="11" t="n">
        <v>14050316</v>
      </c>
      <c r="I25" s="11" t="n">
        <v>0</v>
      </c>
      <c r="J25" s="11" t="n">
        <v>1001</v>
      </c>
      <c r="K25" s="11" t="n">
        <v>14050616</v>
      </c>
      <c r="L25" s="14" t="n">
        <v>995000000</v>
      </c>
      <c r="M25" s="12" t="inlineStr">
        <is>
          <t>9316030151725989</t>
        </is>
      </c>
      <c r="N25" s="11" t="n">
        <v>0</v>
      </c>
      <c r="O25" s="12" t="inlineStr">
        <is>
          <t xml:space="preserve"> * سپه بازار رضا</t>
        </is>
      </c>
      <c r="P25" s="11" t="n">
        <v>1110</v>
      </c>
      <c r="Q25" s="11" t="n">
        <v>716</v>
      </c>
      <c r="R25" s="12" t="inlineStr">
        <is>
          <t>مددي خريدار 207</t>
        </is>
      </c>
      <c r="S25" s="11" t="n">
        <v>14050316</v>
      </c>
      <c r="T25" s="11" t="b">
        <v>0</v>
      </c>
      <c r="U25" s="12" t="inlineStr">
        <is>
          <t>جمع 483,325,000,000</t>
        </is>
      </c>
      <c r="V25" s="11" t="n"/>
      <c r="W25" s="11" t="inlineStr">
        <is>
          <t>دريافتي</t>
        </is>
      </c>
      <c r="X25" s="11" t="n">
        <v>0</v>
      </c>
    </row>
    <row r="26">
      <c r="A26" s="7" t="n">
        <v>1105</v>
      </c>
      <c r="B26" s="52" t="inlineStr">
        <is>
          <t>218783</t>
        </is>
      </c>
      <c r="C26" s="7" t="inlineStr">
        <is>
          <t>c</t>
        </is>
      </c>
      <c r="D26" s="7" t="n">
        <v>12</v>
      </c>
      <c r="E26" s="7" t="n">
        <v>3066</v>
      </c>
      <c r="F26" s="7" t="n">
        <v>148965</v>
      </c>
      <c r="G26" s="7" t="n">
        <v>1404354</v>
      </c>
      <c r="H26" s="7" t="n">
        <v>14041218</v>
      </c>
      <c r="I26" s="7" t="n">
        <v>0</v>
      </c>
      <c r="J26" s="7" t="n">
        <v>1001</v>
      </c>
      <c r="K26" s="7" t="n">
        <v>14050617</v>
      </c>
      <c r="L26" s="13" t="n">
        <v>1890000000</v>
      </c>
      <c r="M26" s="8" t="inlineStr">
        <is>
          <t>2745040155889930</t>
        </is>
      </c>
      <c r="N26" s="7" t="n">
        <v>0</v>
      </c>
      <c r="O26" s="8" t="inlineStr">
        <is>
          <t xml:space="preserve"> * کشاورزي ترمينال</t>
        </is>
      </c>
      <c r="P26" s="7" t="n">
        <v>1110</v>
      </c>
      <c r="Q26" s="7" t="n">
        <v>605</v>
      </c>
      <c r="R26" s="8" t="inlineStr">
        <is>
          <t>اقاي ضيافتي</t>
        </is>
      </c>
      <c r="S26" s="7" t="n">
        <v>14041218</v>
      </c>
      <c r="T26" s="7" t="b">
        <v>0</v>
      </c>
      <c r="U26" s="8" t="inlineStr">
        <is>
          <t>جمع 483,325,000,000</t>
        </is>
      </c>
      <c r="V26" s="7" t="n"/>
      <c r="W26" s="7" t="inlineStr">
        <is>
          <t>دريافتي</t>
        </is>
      </c>
      <c r="X26" s="7" t="n">
        <v>0</v>
      </c>
    </row>
    <row r="27">
      <c r="A27" s="11" t="n">
        <v>1105</v>
      </c>
      <c r="B27" s="49" t="inlineStr">
        <is>
          <t>327253</t>
        </is>
      </c>
      <c r="C27" s="11" t="inlineStr">
        <is>
          <t>c</t>
        </is>
      </c>
      <c r="D27" s="11" t="n">
        <v>9</v>
      </c>
      <c r="E27" s="11" t="n">
        <v>3248</v>
      </c>
      <c r="F27" s="11" t="n">
        <v>155057</v>
      </c>
      <c r="G27" s="11" t="n">
        <v>1405079</v>
      </c>
      <c r="H27" s="11" t="n">
        <v>14050317</v>
      </c>
      <c r="I27" s="11" t="n">
        <v>0</v>
      </c>
      <c r="J27" s="11" t="n">
        <v>1001</v>
      </c>
      <c r="K27" s="11" t="n">
        <v>14050619</v>
      </c>
      <c r="L27" s="14" t="n">
        <v>400000000</v>
      </c>
      <c r="M27" s="12" t="inlineStr">
        <is>
          <t>5860040194061438</t>
        </is>
      </c>
      <c r="N27" s="11" t="n">
        <v>0</v>
      </c>
      <c r="O27" s="12" t="inlineStr">
        <is>
          <t xml:space="preserve"> * صادرات معلم</t>
        </is>
      </c>
      <c r="P27" s="11" t="n">
        <v>1110</v>
      </c>
      <c r="Q27" s="11" t="n">
        <v>9</v>
      </c>
      <c r="R27" s="12" t="inlineStr">
        <is>
          <t>آقاي مرتضي موذن</t>
        </is>
      </c>
      <c r="S27" s="11" t="n">
        <v>14050317</v>
      </c>
      <c r="T27" s="11" t="b">
        <v>0</v>
      </c>
      <c r="U27" s="12" t="inlineStr">
        <is>
          <t>جمع 483,325,000,000</t>
        </is>
      </c>
      <c r="V27" s="11" t="n"/>
      <c r="W27" s="11" t="inlineStr">
        <is>
          <t>دريافتي</t>
        </is>
      </c>
      <c r="X27" s="11" t="n">
        <v>0</v>
      </c>
    </row>
    <row r="28">
      <c r="A28" s="7" t="n">
        <v>1105</v>
      </c>
      <c r="B28" s="52" t="inlineStr">
        <is>
          <t>195315</t>
        </is>
      </c>
      <c r="C28" s="7" t="inlineStr">
        <is>
          <t>c</t>
        </is>
      </c>
      <c r="D28" s="7" t="n">
        <v>9</v>
      </c>
      <c r="E28" s="7" t="n">
        <v>3329</v>
      </c>
      <c r="F28" s="7" t="n">
        <v>158633</v>
      </c>
      <c r="G28" s="7" t="n">
        <v>1405130</v>
      </c>
      <c r="H28" s="7" t="n">
        <v>14050506</v>
      </c>
      <c r="I28" s="7" t="n">
        <v>0</v>
      </c>
      <c r="J28" s="7" t="n">
        <v>1001</v>
      </c>
      <c r="K28" s="7" t="n">
        <v>14050620</v>
      </c>
      <c r="L28" s="13" t="n">
        <v>12450000000</v>
      </c>
      <c r="M28" s="8" t="inlineStr">
        <is>
          <t>2338050035946780</t>
        </is>
      </c>
      <c r="N28" s="7" t="n">
        <v>0</v>
      </c>
      <c r="O28" s="8" t="inlineStr">
        <is>
          <t xml:space="preserve"> * صادرات شهرک لشگر</t>
        </is>
      </c>
      <c r="P28" s="7" t="n">
        <v>1110</v>
      </c>
      <c r="Q28" s="7" t="n">
        <v>605</v>
      </c>
      <c r="R28" s="8" t="inlineStr">
        <is>
          <t>اقاي ضيافتي</t>
        </is>
      </c>
      <c r="S28" s="7" t="n">
        <v>14050506</v>
      </c>
      <c r="T28" s="7" t="b">
        <v>0</v>
      </c>
      <c r="U28" s="8" t="inlineStr">
        <is>
          <t>جمع 483,325,000,000</t>
        </is>
      </c>
      <c r="V28" s="7" t="n"/>
      <c r="W28" s="7" t="inlineStr">
        <is>
          <t>دريافتي</t>
        </is>
      </c>
      <c r="X28" s="7" t="n">
        <v>0</v>
      </c>
    </row>
    <row r="29">
      <c r="A29" s="11" t="n">
        <v>1105</v>
      </c>
      <c r="B29" s="49" t="inlineStr">
        <is>
          <t>444417</t>
        </is>
      </c>
      <c r="C29" s="11" t="inlineStr">
        <is>
          <t>c</t>
        </is>
      </c>
      <c r="D29" s="11" t="n">
        <v>14</v>
      </c>
      <c r="E29" s="11" t="n">
        <v>3165</v>
      </c>
      <c r="F29" s="11" t="n">
        <v>152275</v>
      </c>
      <c r="G29" s="11" t="n">
        <v>1405041</v>
      </c>
      <c r="H29" s="11" t="n">
        <v>14050210</v>
      </c>
      <c r="I29" s="11" t="n">
        <v>0</v>
      </c>
      <c r="J29" s="11" t="n">
        <v>1001</v>
      </c>
      <c r="K29" s="11" t="n">
        <v>14050625</v>
      </c>
      <c r="L29" s="14" t="n">
        <v>350000000</v>
      </c>
      <c r="M29" s="12" t="inlineStr">
        <is>
          <t>7283030156765780</t>
        </is>
      </c>
      <c r="N29" s="11" t="n">
        <v>0</v>
      </c>
      <c r="O29" s="12" t="inlineStr">
        <is>
          <t xml:space="preserve"> * سپه فرهنگيان مشهد</t>
        </is>
      </c>
      <c r="P29" s="11" t="n">
        <v>1110</v>
      </c>
      <c r="Q29" s="11" t="n">
        <v>6</v>
      </c>
      <c r="R29" s="12" t="inlineStr">
        <is>
          <t>آقاي کفاييان</t>
        </is>
      </c>
      <c r="S29" s="11" t="n">
        <v>14050210</v>
      </c>
      <c r="T29" s="11" t="b">
        <v>0</v>
      </c>
      <c r="U29" s="12" t="inlineStr">
        <is>
          <t>جمع 483,325,000,000</t>
        </is>
      </c>
      <c r="V29" s="11" t="n"/>
      <c r="W29" s="11" t="inlineStr">
        <is>
          <t>دريافتي</t>
        </is>
      </c>
      <c r="X29" s="11" t="n">
        <v>0</v>
      </c>
    </row>
    <row r="30">
      <c r="A30" s="7" t="n">
        <v>1105</v>
      </c>
      <c r="B30" s="52" t="inlineStr">
        <is>
          <t>840429</t>
        </is>
      </c>
      <c r="C30" s="7" t="inlineStr">
        <is>
          <t>c</t>
        </is>
      </c>
      <c r="D30" s="7" t="n">
        <v>9</v>
      </c>
      <c r="E30" s="7" t="n">
        <v>3243</v>
      </c>
      <c r="F30" s="7" t="n">
        <v>155025</v>
      </c>
      <c r="G30" s="7" t="n">
        <v>1405079</v>
      </c>
      <c r="H30" s="7" t="n">
        <v>14050317</v>
      </c>
      <c r="I30" s="7" t="n">
        <v>0</v>
      </c>
      <c r="J30" s="7" t="n">
        <v>1001</v>
      </c>
      <c r="K30" s="7" t="n">
        <v>14050625</v>
      </c>
      <c r="L30" s="13" t="n">
        <v>1700000000</v>
      </c>
      <c r="M30" s="8" t="inlineStr">
        <is>
          <t>7376050020050460</t>
        </is>
      </c>
      <c r="N30" s="7" t="n">
        <v>0</v>
      </c>
      <c r="O30" s="8" t="inlineStr">
        <is>
          <t xml:space="preserve"> * صادرات کوي امام هادي</t>
        </is>
      </c>
      <c r="P30" s="7" t="n">
        <v>1110</v>
      </c>
      <c r="Q30" s="7" t="n">
        <v>605</v>
      </c>
      <c r="R30" s="8" t="inlineStr">
        <is>
          <t>اقاي ضيافتي</t>
        </is>
      </c>
      <c r="S30" s="7" t="n">
        <v>14050317</v>
      </c>
      <c r="T30" s="7" t="b">
        <v>0</v>
      </c>
      <c r="U30" s="8" t="inlineStr">
        <is>
          <t>جمع 483,325,000,000</t>
        </is>
      </c>
      <c r="V30" s="7" t="n"/>
      <c r="W30" s="7" t="inlineStr">
        <is>
          <t>دريافتي</t>
        </is>
      </c>
      <c r="X30" s="7" t="n">
        <v>0</v>
      </c>
    </row>
    <row r="31">
      <c r="A31" s="11" t="n">
        <v>1105</v>
      </c>
      <c r="B31" s="49" t="inlineStr">
        <is>
          <t>849737</t>
        </is>
      </c>
      <c r="C31" s="11" t="inlineStr">
        <is>
          <t>c</t>
        </is>
      </c>
      <c r="D31" s="11" t="n">
        <v>25</v>
      </c>
      <c r="E31" s="11" t="n">
        <v>3257</v>
      </c>
      <c r="F31" s="11" t="n">
        <v>155201</v>
      </c>
      <c r="G31" s="11" t="n">
        <v>1405081</v>
      </c>
      <c r="H31" s="11" t="n">
        <v>14050319</v>
      </c>
      <c r="I31" s="11" t="n">
        <v>0</v>
      </c>
      <c r="J31" s="11" t="n">
        <v>1001</v>
      </c>
      <c r="K31" s="11" t="n">
        <v>14050625</v>
      </c>
      <c r="L31" s="14" t="n">
        <v>2190000000</v>
      </c>
      <c r="M31" s="12" t="inlineStr">
        <is>
          <t>7220040201829551</t>
        </is>
      </c>
      <c r="N31" s="11" t="n">
        <v>0</v>
      </c>
      <c r="O31" s="12" t="inlineStr">
        <is>
          <t xml:space="preserve"> * مسکن وکيل اباد</t>
        </is>
      </c>
      <c r="P31" s="11" t="n">
        <v>1110</v>
      </c>
      <c r="Q31" s="11" t="n">
        <v>605</v>
      </c>
      <c r="R31" s="12" t="inlineStr">
        <is>
          <t>اقاي ضيافتي</t>
        </is>
      </c>
      <c r="S31" s="11" t="n">
        <v>14050319</v>
      </c>
      <c r="T31" s="11" t="b">
        <v>0</v>
      </c>
      <c r="U31" s="12" t="inlineStr">
        <is>
          <t>جمع 483,325,000,000</t>
        </is>
      </c>
      <c r="V31" s="11" t="n"/>
      <c r="W31" s="11" t="inlineStr">
        <is>
          <t>دريافتي</t>
        </is>
      </c>
      <c r="X31" s="11" t="n">
        <v>0</v>
      </c>
    </row>
    <row r="32">
      <c r="A32" s="7" t="n">
        <v>1105</v>
      </c>
      <c r="B32" s="52" t="inlineStr">
        <is>
          <t>855065</t>
        </is>
      </c>
      <c r="C32" s="7" t="inlineStr">
        <is>
          <t>c</t>
        </is>
      </c>
      <c r="D32" s="7" t="n">
        <v>15</v>
      </c>
      <c r="E32" s="7" t="n">
        <v>3292</v>
      </c>
      <c r="F32" s="7" t="n">
        <v>156905</v>
      </c>
      <c r="G32" s="7" t="n">
        <v>1405106</v>
      </c>
      <c r="H32" s="7" t="n">
        <v>14050413</v>
      </c>
      <c r="I32" s="7" t="n">
        <v>0</v>
      </c>
      <c r="J32" s="7" t="n">
        <v>1001</v>
      </c>
      <c r="K32" s="7" t="n">
        <v>14050625</v>
      </c>
      <c r="L32" s="13" t="n">
        <v>5500000000</v>
      </c>
      <c r="M32" s="8" t="inlineStr">
        <is>
          <t>2359050004531111</t>
        </is>
      </c>
      <c r="N32" s="7" t="n">
        <v>0</v>
      </c>
      <c r="O32" s="8" t="inlineStr">
        <is>
          <t xml:space="preserve"> * ملت شيرازي</t>
        </is>
      </c>
      <c r="P32" s="7" t="n">
        <v>1110</v>
      </c>
      <c r="Q32" s="7" t="n">
        <v>605</v>
      </c>
      <c r="R32" s="8" t="inlineStr">
        <is>
          <t>اقاي ضيافتي</t>
        </is>
      </c>
      <c r="S32" s="7" t="n">
        <v>14050413</v>
      </c>
      <c r="T32" s="7" t="b">
        <v>0</v>
      </c>
      <c r="U32" s="8" t="inlineStr">
        <is>
          <t>جمع 483,325,000,000</t>
        </is>
      </c>
      <c r="V32" s="7" t="n"/>
      <c r="W32" s="7" t="inlineStr">
        <is>
          <t>دريافتي</t>
        </is>
      </c>
      <c r="X32" s="7" t="n">
        <v>0</v>
      </c>
    </row>
    <row r="33">
      <c r="A33" s="11" t="n">
        <v>1105</v>
      </c>
      <c r="B33" s="49" t="inlineStr">
        <is>
          <t>415569</t>
        </is>
      </c>
      <c r="C33" s="11" t="inlineStr">
        <is>
          <t>c</t>
        </is>
      </c>
      <c r="D33" s="11" t="n">
        <v>7</v>
      </c>
      <c r="E33" s="11" t="n">
        <v>3272</v>
      </c>
      <c r="F33" s="11" t="n">
        <v>155291</v>
      </c>
      <c r="G33" s="11" t="n">
        <v>1405081</v>
      </c>
      <c r="H33" s="11" t="n">
        <v>14050319</v>
      </c>
      <c r="I33" s="11" t="n">
        <v>0</v>
      </c>
      <c r="J33" s="11" t="n">
        <v>1001</v>
      </c>
      <c r="K33" s="11" t="n">
        <v>14050627</v>
      </c>
      <c r="L33" s="14" t="n">
        <v>220000000</v>
      </c>
      <c r="M33" s="12" t="inlineStr">
        <is>
          <t>3704040137481903</t>
        </is>
      </c>
      <c r="N33" s="11" t="n">
        <v>0</v>
      </c>
      <c r="O33" s="12" t="inlineStr">
        <is>
          <t xml:space="preserve"> * پاسارگاد احمداباد</t>
        </is>
      </c>
      <c r="P33" s="11" t="n">
        <v>1110</v>
      </c>
      <c r="Q33" s="11" t="n">
        <v>537</v>
      </c>
      <c r="R33" s="12" t="inlineStr">
        <is>
          <t>داوود خراساني خريد ساينا اس</t>
        </is>
      </c>
      <c r="S33" s="11" t="n">
        <v>14050319</v>
      </c>
      <c r="T33" s="11" t="b">
        <v>0</v>
      </c>
      <c r="U33" s="12" t="inlineStr">
        <is>
          <t>جمع 483,325,000,000</t>
        </is>
      </c>
      <c r="V33" s="11" t="n"/>
      <c r="W33" s="11" t="inlineStr">
        <is>
          <t>دريافتي</t>
        </is>
      </c>
      <c r="X33" s="11" t="n">
        <v>0</v>
      </c>
    </row>
    <row r="34">
      <c r="A34" s="7" t="n">
        <v>1105</v>
      </c>
      <c r="B34" s="52" t="inlineStr">
        <is>
          <t>682185</t>
        </is>
      </c>
      <c r="C34" s="7" t="inlineStr">
        <is>
          <t>c</t>
        </is>
      </c>
      <c r="D34" s="7" t="n">
        <v>14</v>
      </c>
      <c r="E34" s="7" t="n">
        <v>3081</v>
      </c>
      <c r="F34" s="7" t="n">
        <v>149647</v>
      </c>
      <c r="G34" s="7" t="n">
        <v>1404364</v>
      </c>
      <c r="H34" s="7" t="n">
        <v>14041228</v>
      </c>
      <c r="I34" s="7" t="n">
        <v>0</v>
      </c>
      <c r="J34" s="7" t="n">
        <v>1001</v>
      </c>
      <c r="K34" s="7" t="n">
        <v>14050630</v>
      </c>
      <c r="L34" s="13" t="n">
        <v>4000000000</v>
      </c>
      <c r="M34" s="8" t="inlineStr">
        <is>
          <t>8842040083741990</t>
        </is>
      </c>
      <c r="N34" s="7" t="n">
        <v>0</v>
      </c>
      <c r="O34" s="8" t="inlineStr">
        <is>
          <t xml:space="preserve"> * سپه رودکي</t>
        </is>
      </c>
      <c r="P34" s="7" t="n">
        <v>1110</v>
      </c>
      <c r="Q34" s="7" t="n">
        <v>605</v>
      </c>
      <c r="R34" s="8" t="inlineStr">
        <is>
          <t>اقاي ضيافتي</t>
        </is>
      </c>
      <c r="S34" s="7" t="n">
        <v>14041228</v>
      </c>
      <c r="T34" s="7" t="b">
        <v>0</v>
      </c>
      <c r="U34" s="8" t="inlineStr">
        <is>
          <t>جمع 483,325,000,000</t>
        </is>
      </c>
      <c r="V34" s="7" t="n"/>
      <c r="W34" s="7" t="inlineStr">
        <is>
          <t>دريافتي</t>
        </is>
      </c>
      <c r="X34" s="7" t="n">
        <v>0</v>
      </c>
    </row>
    <row r="35">
      <c r="A35" s="11" t="n">
        <v>1105</v>
      </c>
      <c r="B35" s="49" t="inlineStr">
        <is>
          <t>327254</t>
        </is>
      </c>
      <c r="C35" s="11" t="inlineStr">
        <is>
          <t>c</t>
        </is>
      </c>
      <c r="D35" s="11" t="n">
        <v>9</v>
      </c>
      <c r="E35" s="11" t="n">
        <v>3249</v>
      </c>
      <c r="F35" s="11" t="n">
        <v>155059</v>
      </c>
      <c r="G35" s="11" t="n">
        <v>1405079</v>
      </c>
      <c r="H35" s="11" t="n">
        <v>14050317</v>
      </c>
      <c r="I35" s="11" t="n">
        <v>0</v>
      </c>
      <c r="J35" s="11" t="n">
        <v>1001</v>
      </c>
      <c r="K35" s="11" t="n">
        <v>14050630</v>
      </c>
      <c r="L35" s="14" t="n">
        <v>400000000</v>
      </c>
      <c r="M35" s="12" t="inlineStr">
        <is>
          <t>7076040194061439</t>
        </is>
      </c>
      <c r="N35" s="11" t="n">
        <v>0</v>
      </c>
      <c r="O35" s="12" t="inlineStr">
        <is>
          <t xml:space="preserve"> * صادرات معلم</t>
        </is>
      </c>
      <c r="P35" s="11" t="n">
        <v>1110</v>
      </c>
      <c r="Q35" s="11" t="n">
        <v>9</v>
      </c>
      <c r="R35" s="12" t="inlineStr">
        <is>
          <t>آقاي مرتضي موذن</t>
        </is>
      </c>
      <c r="S35" s="11" t="n">
        <v>14050317</v>
      </c>
      <c r="T35" s="11" t="b">
        <v>0</v>
      </c>
      <c r="U35" s="12" t="inlineStr">
        <is>
          <t>جمع 483,325,000,000</t>
        </is>
      </c>
      <c r="V35" s="11" t="n"/>
      <c r="W35" s="11" t="inlineStr">
        <is>
          <t>دريافتي</t>
        </is>
      </c>
      <c r="X35" s="11" t="n">
        <v>0</v>
      </c>
    </row>
    <row r="36">
      <c r="A36" s="7" t="n">
        <v>1105</v>
      </c>
      <c r="B36" s="52" t="inlineStr">
        <is>
          <t>585385</t>
        </is>
      </c>
      <c r="C36" s="7" t="inlineStr">
        <is>
          <t>c</t>
        </is>
      </c>
      <c r="D36" s="7" t="n">
        <v>22</v>
      </c>
      <c r="E36" s="7" t="n">
        <v>3283</v>
      </c>
      <c r="F36" s="7" t="n">
        <v>156571</v>
      </c>
      <c r="G36" s="7" t="n">
        <v>1405102</v>
      </c>
      <c r="H36" s="7" t="n">
        <v>14050409</v>
      </c>
      <c r="I36" s="7" t="n">
        <v>0</v>
      </c>
      <c r="J36" s="7" t="n">
        <v>1001</v>
      </c>
      <c r="K36" s="7" t="n">
        <v>14050630</v>
      </c>
      <c r="L36" s="13" t="n">
        <v>885000000</v>
      </c>
      <c r="M36" s="8" t="inlineStr">
        <is>
          <t>1038050025745329</t>
        </is>
      </c>
      <c r="N36" s="7" t="n">
        <v>0</v>
      </c>
      <c r="O36" s="8" t="inlineStr">
        <is>
          <t xml:space="preserve"> * پست بانک ايران مرکزي مشهد</t>
        </is>
      </c>
      <c r="P36" s="7" t="n">
        <v>1110</v>
      </c>
      <c r="Q36" s="7" t="n">
        <v>731</v>
      </c>
      <c r="R36" s="8" t="inlineStr">
        <is>
          <t>اشرافيان و دشت بياض</t>
        </is>
      </c>
      <c r="S36" s="7" t="n">
        <v>14050409</v>
      </c>
      <c r="T36" s="7" t="b">
        <v>0</v>
      </c>
      <c r="U36" s="8" t="inlineStr">
        <is>
          <t>جمع 483,325,000,000</t>
        </is>
      </c>
      <c r="V36" s="7" t="n"/>
      <c r="W36" s="7" t="inlineStr">
        <is>
          <t>دريافتي</t>
        </is>
      </c>
      <c r="X36" s="7" t="n">
        <v>0</v>
      </c>
    </row>
    <row r="37">
      <c r="A37" s="11" t="n">
        <v>1105</v>
      </c>
      <c r="B37" s="49" t="inlineStr">
        <is>
          <t>33878626</t>
        </is>
      </c>
      <c r="C37" s="11" t="inlineStr">
        <is>
          <t>c</t>
        </is>
      </c>
      <c r="D37" s="11" t="n">
        <v>15</v>
      </c>
      <c r="E37" s="11" t="n">
        <v>3142</v>
      </c>
      <c r="F37" s="11" t="n">
        <v>151807</v>
      </c>
      <c r="G37" s="11" t="n">
        <v>1405036</v>
      </c>
      <c r="H37" s="11" t="n">
        <v>14050205</v>
      </c>
      <c r="I37" s="11" t="n">
        <v>0</v>
      </c>
      <c r="J37" s="11" t="n">
        <v>1001</v>
      </c>
      <c r="K37" s="11" t="n">
        <v>14050701</v>
      </c>
      <c r="L37" s="14" t="n">
        <v>2620000000</v>
      </c>
      <c r="M37" s="12" t="inlineStr">
        <is>
          <t>1349040184813907</t>
        </is>
      </c>
      <c r="N37" s="11" t="n">
        <v>0</v>
      </c>
      <c r="O37" s="12" t="inlineStr">
        <is>
          <t xml:space="preserve"> * ملت دانش اموز</t>
        </is>
      </c>
      <c r="P37" s="11" t="n">
        <v>1110</v>
      </c>
      <c r="Q37" s="11" t="n">
        <v>605</v>
      </c>
      <c r="R37" s="12" t="inlineStr">
        <is>
          <t>اقاي ضيافتي</t>
        </is>
      </c>
      <c r="S37" s="11" t="n">
        <v>14050205</v>
      </c>
      <c r="T37" s="11" t="b">
        <v>0</v>
      </c>
      <c r="U37" s="12" t="inlineStr">
        <is>
          <t>جمع 483,325,000,000</t>
        </is>
      </c>
      <c r="V37" s="11" t="n"/>
      <c r="W37" s="11" t="inlineStr">
        <is>
          <t>دريافتي</t>
        </is>
      </c>
      <c r="X37" s="11" t="n">
        <v>0</v>
      </c>
    </row>
    <row r="38">
      <c r="A38" s="7" t="n">
        <v>1105</v>
      </c>
      <c r="B38" s="52" t="inlineStr">
        <is>
          <t>233941</t>
        </is>
      </c>
      <c r="C38" s="7" t="inlineStr">
        <is>
          <t>c</t>
        </is>
      </c>
      <c r="D38" s="7" t="n">
        <v>12</v>
      </c>
      <c r="E38" s="7" t="n">
        <v>3279</v>
      </c>
      <c r="F38" s="7" t="n">
        <v>156147</v>
      </c>
      <c r="G38" s="7" t="n">
        <v>1405094</v>
      </c>
      <c r="H38" s="7" t="n">
        <v>14050401</v>
      </c>
      <c r="I38" s="7" t="n">
        <v>0</v>
      </c>
      <c r="J38" s="7" t="n">
        <v>1001</v>
      </c>
      <c r="K38" s="7" t="n">
        <v>14050701</v>
      </c>
      <c r="L38" s="13" t="n">
        <v>600000000</v>
      </c>
      <c r="M38" s="8" t="inlineStr">
        <is>
          <t>2045050027968292</t>
        </is>
      </c>
      <c r="N38" s="7" t="n">
        <v>0</v>
      </c>
      <c r="O38" s="8" t="inlineStr">
        <is>
          <t xml:space="preserve"> * کشاورزي عبدل اباد فيض اباد</t>
        </is>
      </c>
      <c r="P38" s="7" t="n">
        <v>1110</v>
      </c>
      <c r="Q38" s="7" t="n">
        <v>630</v>
      </c>
      <c r="R38" s="8" t="inlineStr">
        <is>
          <t>محمد بزرگر</t>
        </is>
      </c>
      <c r="S38" s="7" t="n">
        <v>14050401</v>
      </c>
      <c r="T38" s="7" t="b">
        <v>0</v>
      </c>
      <c r="U38" s="8" t="inlineStr">
        <is>
          <t>جمع 483,325,000,000</t>
        </is>
      </c>
      <c r="V38" s="7" t="n"/>
      <c r="W38" s="7" t="inlineStr">
        <is>
          <t>دريافتي</t>
        </is>
      </c>
      <c r="X38" s="7" t="n">
        <v>0</v>
      </c>
    </row>
    <row r="39">
      <c r="A39" s="11" t="n">
        <v>1105</v>
      </c>
      <c r="B39" s="49" t="inlineStr">
        <is>
          <t>135599</t>
        </is>
      </c>
      <c r="C39" s="11" t="inlineStr">
        <is>
          <t>c</t>
        </is>
      </c>
      <c r="D39" s="11" t="n">
        <v>21</v>
      </c>
      <c r="E39" s="11" t="n">
        <v>3344</v>
      </c>
      <c r="F39" s="11" t="n">
        <v>158999</v>
      </c>
      <c r="G39" s="11" t="n">
        <v>1405135</v>
      </c>
      <c r="H39" s="11" t="n">
        <v>14050511</v>
      </c>
      <c r="I39" s="11" t="n">
        <v>0</v>
      </c>
      <c r="J39" s="11" t="n">
        <v>1001</v>
      </c>
      <c r="K39" s="11" t="n">
        <v>14050701</v>
      </c>
      <c r="L39" s="14" t="n">
        <v>1000000000</v>
      </c>
      <c r="M39" s="12" t="inlineStr">
        <is>
          <t>1470050019357729</t>
        </is>
      </c>
      <c r="N39" s="11" t="n">
        <v>0</v>
      </c>
      <c r="O39" s="12" t="inlineStr">
        <is>
          <t xml:space="preserve"> * قرض الحسنه رسالت بانکداري اجتماعي</t>
        </is>
      </c>
      <c r="P39" s="11" t="n">
        <v>1110</v>
      </c>
      <c r="Q39" s="11" t="n">
        <v>596</v>
      </c>
      <c r="R39" s="12" t="inlineStr">
        <is>
          <t>مرتضي پيروزيان</t>
        </is>
      </c>
      <c r="S39" s="11" t="n">
        <v>14050511</v>
      </c>
      <c r="T39" s="11" t="b">
        <v>0</v>
      </c>
      <c r="U39" s="12" t="inlineStr">
        <is>
          <t>جمع 483,325,000,000</t>
        </is>
      </c>
      <c r="V39" s="11" t="n"/>
      <c r="W39" s="11" t="inlineStr">
        <is>
          <t>دريافتي</t>
        </is>
      </c>
      <c r="X39" s="11" t="n">
        <v>0</v>
      </c>
    </row>
    <row r="40">
      <c r="A40" s="7" t="n">
        <v>1105</v>
      </c>
      <c r="B40" s="52" t="inlineStr">
        <is>
          <t>810232</t>
        </is>
      </c>
      <c r="C40" s="7" t="inlineStr">
        <is>
          <t>c</t>
        </is>
      </c>
      <c r="D40" s="7" t="n">
        <v>9</v>
      </c>
      <c r="E40" s="7" t="n">
        <v>3298</v>
      </c>
      <c r="F40" s="7" t="n">
        <v>157415</v>
      </c>
      <c r="G40" s="7" t="n">
        <v>1405114</v>
      </c>
      <c r="H40" s="7" t="n">
        <v>14050421</v>
      </c>
      <c r="I40" s="7" t="n">
        <v>0</v>
      </c>
      <c r="J40" s="7" t="n">
        <v>1001</v>
      </c>
      <c r="K40" s="7" t="n">
        <v>14050702</v>
      </c>
      <c r="L40" s="13" t="n">
        <v>2000000000</v>
      </c>
      <c r="M40" s="8" t="inlineStr">
        <is>
          <t>8509030010355251</t>
        </is>
      </c>
      <c r="N40" s="7" t="n">
        <v>0</v>
      </c>
      <c r="O40" s="8" t="inlineStr">
        <is>
          <t xml:space="preserve"> * صادرات صفاشم</t>
        </is>
      </c>
      <c r="P40" s="7" t="n">
        <v>1110</v>
      </c>
      <c r="Q40" s="7" t="n">
        <v>605</v>
      </c>
      <c r="R40" s="8" t="inlineStr">
        <is>
          <t>اقاي ضيافتي</t>
        </is>
      </c>
      <c r="S40" s="7" t="n">
        <v>14050421</v>
      </c>
      <c r="T40" s="7" t="b">
        <v>0</v>
      </c>
      <c r="U40" s="8" t="inlineStr">
        <is>
          <t>جمع 483,325,000,000</t>
        </is>
      </c>
      <c r="V40" s="7" t="n"/>
      <c r="W40" s="7" t="inlineStr">
        <is>
          <t>دريافتي</t>
        </is>
      </c>
      <c r="X40" s="7" t="n">
        <v>0</v>
      </c>
    </row>
    <row r="41">
      <c r="A41" s="11" t="n">
        <v>1105</v>
      </c>
      <c r="B41" s="49" t="inlineStr">
        <is>
          <t>239934</t>
        </is>
      </c>
      <c r="C41" s="11" t="inlineStr">
        <is>
          <t>c</t>
        </is>
      </c>
      <c r="D41" s="11" t="n">
        <v>12</v>
      </c>
      <c r="E41" s="11" t="n">
        <v>3319</v>
      </c>
      <c r="F41" s="11" t="n">
        <v>158301</v>
      </c>
      <c r="G41" s="11" t="n">
        <v>1405127</v>
      </c>
      <c r="H41" s="11" t="n">
        <v>14050503</v>
      </c>
      <c r="I41" s="11" t="n">
        <v>0</v>
      </c>
      <c r="J41" s="11" t="n">
        <v>1001</v>
      </c>
      <c r="K41" s="11" t="n">
        <v>14050703</v>
      </c>
      <c r="L41" s="14" t="n">
        <v>1000000000</v>
      </c>
      <c r="M41" s="12" t="inlineStr">
        <is>
          <t>7195040061560088</t>
        </is>
      </c>
      <c r="N41" s="11" t="n">
        <v>0</v>
      </c>
      <c r="O41" s="12" t="inlineStr">
        <is>
          <t xml:space="preserve"> * کشاورزي شريعتي</t>
        </is>
      </c>
      <c r="P41" s="11" t="n">
        <v>1110</v>
      </c>
      <c r="Q41" s="11" t="n">
        <v>605</v>
      </c>
      <c r="R41" s="12" t="inlineStr">
        <is>
          <t>اقاي ضيافتي</t>
        </is>
      </c>
      <c r="S41" s="11" t="n">
        <v>14050503</v>
      </c>
      <c r="T41" s="11" t="b">
        <v>0</v>
      </c>
      <c r="U41" s="12" t="inlineStr">
        <is>
          <t>جمع 483,325,000,000</t>
        </is>
      </c>
      <c r="V41" s="11" t="n"/>
      <c r="W41" s="11" t="inlineStr">
        <is>
          <t>دريافتي</t>
        </is>
      </c>
      <c r="X41" s="11" t="n">
        <v>0</v>
      </c>
    </row>
    <row r="42">
      <c r="A42" s="7" t="n">
        <v>1105</v>
      </c>
      <c r="B42" s="52" t="inlineStr">
        <is>
          <t>189765</t>
        </is>
      </c>
      <c r="C42" s="7" t="inlineStr">
        <is>
          <t>c</t>
        </is>
      </c>
      <c r="D42" s="7" t="n">
        <v>3</v>
      </c>
      <c r="E42" s="7" t="n">
        <v>2903</v>
      </c>
      <c r="F42" s="7" t="n">
        <v>142721</v>
      </c>
      <c r="G42" s="7" t="n">
        <v>1404268</v>
      </c>
      <c r="H42" s="7" t="n">
        <v>14040922</v>
      </c>
      <c r="I42" s="7" t="n">
        <v>0</v>
      </c>
      <c r="J42" s="7" t="n">
        <v>1001</v>
      </c>
      <c r="K42" s="7" t="n">
        <v>14050705</v>
      </c>
      <c r="L42" s="13" t="n">
        <v>3100000000</v>
      </c>
      <c r="M42" s="8" t="inlineStr">
        <is>
          <t>2240040121634560</t>
        </is>
      </c>
      <c r="N42" s="7" t="n">
        <v>0</v>
      </c>
      <c r="O42" s="8" t="inlineStr">
        <is>
          <t xml:space="preserve"> * بانک ملي کوي المهدي</t>
        </is>
      </c>
      <c r="P42" s="7" t="n">
        <v>1110</v>
      </c>
      <c r="Q42" s="7" t="n">
        <v>605</v>
      </c>
      <c r="R42" s="8" t="inlineStr">
        <is>
          <t>اقاي ضيافتي</t>
        </is>
      </c>
      <c r="S42" s="7" t="n">
        <v>14040922</v>
      </c>
      <c r="T42" s="7" t="b">
        <v>0</v>
      </c>
      <c r="U42" s="8" t="inlineStr">
        <is>
          <t>جمع 483,325,000,000</t>
        </is>
      </c>
      <c r="V42" s="7" t="n"/>
      <c r="W42" s="7" t="inlineStr">
        <is>
          <t>دريافتي</t>
        </is>
      </c>
      <c r="X42" s="7" t="n">
        <v>0</v>
      </c>
    </row>
    <row r="43">
      <c r="A43" s="11" t="n">
        <v>1105</v>
      </c>
      <c r="B43" s="49" t="inlineStr">
        <is>
          <t>177793</t>
        </is>
      </c>
      <c r="C43" s="11" t="inlineStr">
        <is>
          <t>c</t>
        </is>
      </c>
      <c r="D43" s="11" t="n">
        <v>9</v>
      </c>
      <c r="E43" s="11" t="n">
        <v>3126</v>
      </c>
      <c r="F43" s="11" t="n">
        <v>151673</v>
      </c>
      <c r="G43" s="11" t="n">
        <v>1405034</v>
      </c>
      <c r="H43" s="11" t="n">
        <v>14050203</v>
      </c>
      <c r="I43" s="11" t="n">
        <v>0</v>
      </c>
      <c r="J43" s="11" t="n">
        <v>1001</v>
      </c>
      <c r="K43" s="11" t="n">
        <v>14050705</v>
      </c>
      <c r="L43" s="14" t="n">
        <v>320000000</v>
      </c>
      <c r="M43" s="12" t="inlineStr">
        <is>
          <t>8611040064111640</t>
        </is>
      </c>
      <c r="N43" s="11" t="n">
        <v>0</v>
      </c>
      <c r="O43" s="12" t="inlineStr">
        <is>
          <t xml:space="preserve"> * صادرات 15 خرداد</t>
        </is>
      </c>
      <c r="P43" s="11" t="n">
        <v>1110</v>
      </c>
      <c r="Q43" s="11" t="n">
        <v>771</v>
      </c>
      <c r="R43" s="12" t="inlineStr">
        <is>
          <t>اقاي افشاري خريدار کوييک نقره اي</t>
        </is>
      </c>
      <c r="S43" s="11" t="n">
        <v>14050203</v>
      </c>
      <c r="T43" s="11" t="b">
        <v>0</v>
      </c>
      <c r="U43" s="12" t="inlineStr">
        <is>
          <t>جمع 483,325,000,000</t>
        </is>
      </c>
      <c r="V43" s="11" t="n"/>
      <c r="W43" s="11" t="inlineStr">
        <is>
          <t>دريافتي</t>
        </is>
      </c>
      <c r="X43" s="11" t="n">
        <v>0</v>
      </c>
    </row>
    <row r="44">
      <c r="A44" s="7" t="n">
        <v>1105</v>
      </c>
      <c r="B44" s="52" t="inlineStr">
        <is>
          <t>349378</t>
        </is>
      </c>
      <c r="C44" s="7" t="inlineStr">
        <is>
          <t>c</t>
        </is>
      </c>
      <c r="D44" s="7" t="n">
        <v>14</v>
      </c>
      <c r="E44" s="7" t="n">
        <v>3044</v>
      </c>
      <c r="F44" s="7" t="n">
        <v>148193</v>
      </c>
      <c r="G44" s="7" t="n">
        <v>1404341</v>
      </c>
      <c r="H44" s="7" t="n">
        <v>14041205</v>
      </c>
      <c r="I44" s="7" t="n">
        <v>0</v>
      </c>
      <c r="J44" s="7" t="n">
        <v>1001</v>
      </c>
      <c r="K44" s="7" t="n">
        <v>14050706</v>
      </c>
      <c r="L44" s="13" t="n">
        <v>1400000000</v>
      </c>
      <c r="M44" s="8" t="inlineStr">
        <is>
          <t>3572020042035576</t>
        </is>
      </c>
      <c r="N44" s="7" t="n">
        <v>0</v>
      </c>
      <c r="O44" s="8" t="inlineStr">
        <is>
          <t xml:space="preserve"> * سپه امام خميني</t>
        </is>
      </c>
      <c r="P44" s="7" t="n">
        <v>1110</v>
      </c>
      <c r="Q44" s="7" t="n">
        <v>758</v>
      </c>
      <c r="R44" s="8" t="inlineStr">
        <is>
          <t>ميلاد داوري</t>
        </is>
      </c>
      <c r="S44" s="7" t="n">
        <v>14041205</v>
      </c>
      <c r="T44" s="7" t="b">
        <v>0</v>
      </c>
      <c r="U44" s="8" t="inlineStr">
        <is>
          <t>جمع 483,325,000,000</t>
        </is>
      </c>
      <c r="V44" s="7" t="n"/>
      <c r="W44" s="7" t="inlineStr">
        <is>
          <t>دريافتي</t>
        </is>
      </c>
      <c r="X44" s="7" t="n">
        <v>0</v>
      </c>
    </row>
    <row r="45">
      <c r="A45" s="11" t="n">
        <v>1105</v>
      </c>
      <c r="B45" s="49" t="inlineStr">
        <is>
          <t>030617</t>
        </is>
      </c>
      <c r="C45" s="11" t="inlineStr">
        <is>
          <t>c</t>
        </is>
      </c>
      <c r="D45" s="11" t="n">
        <v>14</v>
      </c>
      <c r="E45" s="11" t="n">
        <v>3150</v>
      </c>
      <c r="F45" s="11" t="n">
        <v>151907</v>
      </c>
      <c r="G45" s="11" t="n">
        <v>1405037</v>
      </c>
      <c r="H45" s="11" t="n">
        <v>14050206</v>
      </c>
      <c r="I45" s="11" t="n">
        <v>0</v>
      </c>
      <c r="J45" s="11" t="n">
        <v>1001</v>
      </c>
      <c r="K45" s="11" t="n">
        <v>14050706</v>
      </c>
      <c r="L45" s="14" t="n">
        <v>1160000000</v>
      </c>
      <c r="M45" s="12" t="inlineStr">
        <is>
          <t>5320040153416464</t>
        </is>
      </c>
      <c r="N45" s="11" t="n">
        <v>0</v>
      </c>
      <c r="O45" s="12" t="inlineStr">
        <is>
          <t xml:space="preserve"> * سپه سيدي مشهد</t>
        </is>
      </c>
      <c r="P45" s="11" t="n">
        <v>1110</v>
      </c>
      <c r="Q45" s="11" t="n">
        <v>605</v>
      </c>
      <c r="R45" s="12" t="inlineStr">
        <is>
          <t>اقاي ضيافتي</t>
        </is>
      </c>
      <c r="S45" s="11" t="n">
        <v>14050206</v>
      </c>
      <c r="T45" s="11" t="b">
        <v>0</v>
      </c>
      <c r="U45" s="12" t="inlineStr">
        <is>
          <t>جمع 483,325,000,000</t>
        </is>
      </c>
      <c r="V45" s="11" t="n"/>
      <c r="W45" s="11" t="inlineStr">
        <is>
          <t>دريافتي</t>
        </is>
      </c>
      <c r="X45" s="11" t="n">
        <v>0</v>
      </c>
    </row>
    <row r="46">
      <c r="A46" s="7" t="n">
        <v>1105</v>
      </c>
      <c r="B46" s="52" t="inlineStr">
        <is>
          <t>00769431</t>
        </is>
      </c>
      <c r="C46" s="7" t="inlineStr">
        <is>
          <t>c</t>
        </is>
      </c>
      <c r="D46" s="7" t="n">
        <v>15</v>
      </c>
      <c r="E46" s="7" t="n">
        <v>3204</v>
      </c>
      <c r="F46" s="7" t="n">
        <v>153663</v>
      </c>
      <c r="G46" s="7" t="n">
        <v>1405059</v>
      </c>
      <c r="H46" s="7" t="n">
        <v>14050228</v>
      </c>
      <c r="I46" s="7" t="n">
        <v>0</v>
      </c>
      <c r="J46" s="7" t="n">
        <v>1001</v>
      </c>
      <c r="K46" s="7" t="n">
        <v>14050707</v>
      </c>
      <c r="L46" s="13" t="n">
        <v>1350000000</v>
      </c>
      <c r="M46" s="8" t="inlineStr">
        <is>
          <t>6896040120076060</t>
        </is>
      </c>
      <c r="N46" s="7" t="n">
        <v>0</v>
      </c>
      <c r="O46" s="8" t="inlineStr">
        <is>
          <t xml:space="preserve"> * ملت عطا ملک سبزوار</t>
        </is>
      </c>
      <c r="P46" s="7" t="n">
        <v>1110</v>
      </c>
      <c r="Q46" s="7" t="n">
        <v>605</v>
      </c>
      <c r="R46" s="8" t="inlineStr">
        <is>
          <t>اقاي ضيافتي</t>
        </is>
      </c>
      <c r="S46" s="7" t="n">
        <v>14050228</v>
      </c>
      <c r="T46" s="7" t="b">
        <v>0</v>
      </c>
      <c r="U46" s="8" t="inlineStr">
        <is>
          <t>جمع 483,325,000,000</t>
        </is>
      </c>
      <c r="V46" s="7" t="n"/>
      <c r="W46" s="7" t="inlineStr">
        <is>
          <t>دريافتي</t>
        </is>
      </c>
      <c r="X46" s="7" t="n">
        <v>0</v>
      </c>
    </row>
    <row r="47">
      <c r="A47" s="11" t="n">
        <v>1105</v>
      </c>
      <c r="B47" s="49" t="inlineStr">
        <is>
          <t>804985</t>
        </is>
      </c>
      <c r="C47" s="11" t="inlineStr">
        <is>
          <t>c</t>
        </is>
      </c>
      <c r="D47" s="11" t="n">
        <v>14</v>
      </c>
      <c r="E47" s="11" t="n">
        <v>2994</v>
      </c>
      <c r="F47" s="11" t="n">
        <v>145979</v>
      </c>
      <c r="G47" s="11" t="n">
        <v>1404312</v>
      </c>
      <c r="H47" s="11" t="n">
        <v>14041106</v>
      </c>
      <c r="I47" s="11" t="n">
        <v>0</v>
      </c>
      <c r="J47" s="11" t="n">
        <v>1001</v>
      </c>
      <c r="K47" s="11" t="n">
        <v>14050710</v>
      </c>
      <c r="L47" s="14" t="n">
        <v>1380000000</v>
      </c>
      <c r="M47" s="12" t="inlineStr">
        <is>
          <t>5963030071639289</t>
        </is>
      </c>
      <c r="N47" s="11" t="n">
        <v>0</v>
      </c>
      <c r="O47" s="12" t="inlineStr">
        <is>
          <t xml:space="preserve"> * سپه امام رضا فريمان</t>
        </is>
      </c>
      <c r="P47" s="11" t="n">
        <v>1110</v>
      </c>
      <c r="Q47" s="11" t="n">
        <v>605</v>
      </c>
      <c r="R47" s="12" t="inlineStr">
        <is>
          <t>اقاي ضيافتي</t>
        </is>
      </c>
      <c r="S47" s="11" t="n">
        <v>14041106</v>
      </c>
      <c r="T47" s="11" t="b">
        <v>0</v>
      </c>
      <c r="U47" s="12" t="inlineStr">
        <is>
          <t>جمع 483,325,000,000</t>
        </is>
      </c>
      <c r="V47" s="11" t="n"/>
      <c r="W47" s="11" t="inlineStr">
        <is>
          <t>دريافتي</t>
        </is>
      </c>
      <c r="X47" s="11" t="n">
        <v>0</v>
      </c>
    </row>
    <row r="48">
      <c r="A48" s="7" t="n">
        <v>1105</v>
      </c>
      <c r="B48" s="52" t="inlineStr">
        <is>
          <t>6288180</t>
        </is>
      </c>
      <c r="C48" s="7" t="inlineStr">
        <is>
          <t>c</t>
        </is>
      </c>
      <c r="D48" s="7" t="n">
        <v>22</v>
      </c>
      <c r="E48" s="7" t="n">
        <v>3312</v>
      </c>
      <c r="F48" s="7" t="n">
        <v>157455</v>
      </c>
      <c r="G48" s="7" t="n">
        <v>1405115</v>
      </c>
      <c r="H48" s="7" t="n">
        <v>14050422</v>
      </c>
      <c r="I48" s="7" t="n">
        <v>0</v>
      </c>
      <c r="J48" s="7" t="n">
        <v>1001</v>
      </c>
      <c r="K48" s="7" t="n">
        <v>14050710</v>
      </c>
      <c r="L48" s="13" t="n">
        <v>3700000000</v>
      </c>
      <c r="M48" s="8" t="inlineStr">
        <is>
          <t>4422040140728883</t>
        </is>
      </c>
      <c r="N48" s="7" t="n">
        <v>0</v>
      </c>
      <c r="O48" s="8" t="inlineStr">
        <is>
          <t xml:space="preserve"> * پست بانک ايران مرکزي مشهد</t>
        </is>
      </c>
      <c r="P48" s="7" t="n">
        <v>1110</v>
      </c>
      <c r="Q48" s="7" t="n">
        <v>605</v>
      </c>
      <c r="R48" s="8" t="inlineStr">
        <is>
          <t>اقاي ضيافتي</t>
        </is>
      </c>
      <c r="S48" s="7" t="n">
        <v>14050422</v>
      </c>
      <c r="T48" s="7" t="b">
        <v>0</v>
      </c>
      <c r="U48" s="8" t="inlineStr">
        <is>
          <t>جمع 483,325,000,000</t>
        </is>
      </c>
      <c r="V48" s="7" t="n"/>
      <c r="W48" s="7" t="inlineStr">
        <is>
          <t>دريافتي</t>
        </is>
      </c>
      <c r="X48" s="7" t="n">
        <v>0</v>
      </c>
    </row>
    <row r="49">
      <c r="A49" s="11" t="n">
        <v>1105</v>
      </c>
      <c r="B49" s="49" t="inlineStr">
        <is>
          <t>327255</t>
        </is>
      </c>
      <c r="C49" s="11" t="inlineStr">
        <is>
          <t>c</t>
        </is>
      </c>
      <c r="D49" s="11" t="n">
        <v>9</v>
      </c>
      <c r="E49" s="11" t="n">
        <v>3250</v>
      </c>
      <c r="F49" s="11" t="n">
        <v>155061</v>
      </c>
      <c r="G49" s="11" t="n">
        <v>1405079</v>
      </c>
      <c r="H49" s="11" t="n">
        <v>14050317</v>
      </c>
      <c r="I49" s="11" t="n">
        <v>0</v>
      </c>
      <c r="J49" s="11" t="n">
        <v>1001</v>
      </c>
      <c r="K49" s="11" t="n">
        <v>14050712</v>
      </c>
      <c r="L49" s="14" t="n">
        <v>400000000</v>
      </c>
      <c r="M49" s="12" t="inlineStr">
        <is>
          <t>4230040194061440</t>
        </is>
      </c>
      <c r="N49" s="11" t="n">
        <v>0</v>
      </c>
      <c r="O49" s="12" t="inlineStr">
        <is>
          <t xml:space="preserve"> * صادرات معلم</t>
        </is>
      </c>
      <c r="P49" s="11" t="n">
        <v>1110</v>
      </c>
      <c r="Q49" s="11" t="n">
        <v>9</v>
      </c>
      <c r="R49" s="12" t="inlineStr">
        <is>
          <t>آقاي مرتضي موذن</t>
        </is>
      </c>
      <c r="S49" s="11" t="n">
        <v>14050317</v>
      </c>
      <c r="T49" s="11" t="b">
        <v>0</v>
      </c>
      <c r="U49" s="12" t="inlineStr">
        <is>
          <t>جمع 483,325,000,000</t>
        </is>
      </c>
      <c r="V49" s="11" t="n"/>
      <c r="W49" s="11" t="inlineStr">
        <is>
          <t>دريافتي</t>
        </is>
      </c>
      <c r="X49" s="11" t="n">
        <v>0</v>
      </c>
    </row>
    <row r="50">
      <c r="A50" s="7" t="n">
        <v>1105</v>
      </c>
      <c r="B50" s="52" t="inlineStr">
        <is>
          <t>922904</t>
        </is>
      </c>
      <c r="C50" s="7" t="inlineStr">
        <is>
          <t>c</t>
        </is>
      </c>
      <c r="D50" s="7" t="n">
        <v>9</v>
      </c>
      <c r="E50" s="7" t="n">
        <v>2682</v>
      </c>
      <c r="F50" s="7" t="n">
        <v>136367</v>
      </c>
      <c r="G50" s="7" t="n">
        <v>1404202</v>
      </c>
      <c r="H50" s="7" t="n">
        <v>14040716</v>
      </c>
      <c r="I50" s="7" t="n">
        <v>0</v>
      </c>
      <c r="J50" s="7" t="n">
        <v>1001</v>
      </c>
      <c r="K50" s="7" t="n">
        <v>14050714</v>
      </c>
      <c r="L50" s="13" t="n">
        <v>3400000000</v>
      </c>
      <c r="M50" s="8" t="inlineStr">
        <is>
          <t>3438040101328881-حميد اسديان سوهان</t>
        </is>
      </c>
      <c r="N50" s="7" t="n">
        <v>0</v>
      </c>
      <c r="O50" s="8" t="inlineStr">
        <is>
          <t xml:space="preserve"> * صادرات کوي امام هادي 3357</t>
        </is>
      </c>
      <c r="P50" s="7" t="n">
        <v>1110</v>
      </c>
      <c r="Q50" s="7" t="n">
        <v>605</v>
      </c>
      <c r="R50" s="8" t="inlineStr">
        <is>
          <t>اقاي ضيافتي</t>
        </is>
      </c>
      <c r="S50" s="7" t="n">
        <v>14040716</v>
      </c>
      <c r="T50" s="7" t="b">
        <v>0</v>
      </c>
      <c r="U50" s="8" t="inlineStr">
        <is>
          <t>جمع 483,325,000,000</t>
        </is>
      </c>
      <c r="V50" s="7" t="n"/>
      <c r="W50" s="7" t="inlineStr">
        <is>
          <t>دريافتي</t>
        </is>
      </c>
      <c r="X50" s="7" t="n">
        <v>0</v>
      </c>
    </row>
    <row r="51">
      <c r="A51" s="11" t="n">
        <v>1105</v>
      </c>
      <c r="B51" s="49" t="inlineStr">
        <is>
          <t>824587</t>
        </is>
      </c>
      <c r="C51" s="11" t="inlineStr">
        <is>
          <t>c</t>
        </is>
      </c>
      <c r="D51" s="11" t="n">
        <v>9</v>
      </c>
      <c r="E51" s="11" t="n">
        <v>2621</v>
      </c>
      <c r="F51" s="11" t="n">
        <v>131695</v>
      </c>
      <c r="G51" s="11" t="n">
        <v>1404175</v>
      </c>
      <c r="H51" s="11" t="n">
        <v>14040620</v>
      </c>
      <c r="I51" s="11" t="n">
        <v>0</v>
      </c>
      <c r="J51" s="11" t="n">
        <v>1001</v>
      </c>
      <c r="K51" s="11" t="n">
        <v>14050716</v>
      </c>
      <c r="L51" s="14" t="n">
        <v>2670000000</v>
      </c>
      <c r="M51" s="12" t="inlineStr">
        <is>
          <t>2480040056179004</t>
        </is>
      </c>
      <c r="N51" s="11" t="n">
        <v>0</v>
      </c>
      <c r="O51" s="12" t="inlineStr">
        <is>
          <t xml:space="preserve"> * صادرات سيدي</t>
        </is>
      </c>
      <c r="P51" s="11" t="n">
        <v>1110</v>
      </c>
      <c r="Q51" s="11" t="n">
        <v>605</v>
      </c>
      <c r="R51" s="12" t="inlineStr">
        <is>
          <t>اقاي ضيافتي</t>
        </is>
      </c>
      <c r="S51" s="11" t="n">
        <v>14040620</v>
      </c>
      <c r="T51" s="11" t="b">
        <v>0</v>
      </c>
      <c r="U51" s="12" t="inlineStr">
        <is>
          <t>جمع 483,325,000,000</t>
        </is>
      </c>
      <c r="V51" s="11" t="n"/>
      <c r="W51" s="11" t="inlineStr">
        <is>
          <t>دريافتي</t>
        </is>
      </c>
      <c r="X51" s="11" t="n">
        <v>0</v>
      </c>
    </row>
    <row r="52">
      <c r="A52" s="7" t="n">
        <v>1105</v>
      </c>
      <c r="B52" s="52" t="inlineStr">
        <is>
          <t>266951</t>
        </is>
      </c>
      <c r="C52" s="7" t="inlineStr">
        <is>
          <t>c</t>
        </is>
      </c>
      <c r="D52" s="7" t="n">
        <v>12</v>
      </c>
      <c r="E52" s="7" t="n">
        <v>3357</v>
      </c>
      <c r="F52" s="7" t="n">
        <v>159833</v>
      </c>
      <c r="G52" s="7" t="n">
        <v>1405149</v>
      </c>
      <c r="H52" s="7" t="n">
        <v>14050525</v>
      </c>
      <c r="I52" s="7" t="n">
        <v>0</v>
      </c>
      <c r="J52" s="7" t="n">
        <v>1001</v>
      </c>
      <c r="K52" s="7" t="n">
        <v>14050716</v>
      </c>
      <c r="L52" s="13" t="n">
        <v>487500000</v>
      </c>
      <c r="M52" s="8" t="inlineStr">
        <is>
          <t>5179050070509551</t>
        </is>
      </c>
      <c r="N52" s="7" t="n">
        <v>0</v>
      </c>
      <c r="O52" s="8" t="inlineStr">
        <is>
          <t xml:space="preserve"> * کشاورزي خضري</t>
        </is>
      </c>
      <c r="P52" s="7" t="n">
        <v>1110</v>
      </c>
      <c r="Q52" s="7" t="n">
        <v>731</v>
      </c>
      <c r="R52" s="8" t="inlineStr">
        <is>
          <t>اشرافيان و دشت بياض</t>
        </is>
      </c>
      <c r="S52" s="7" t="n">
        <v>14050525</v>
      </c>
      <c r="T52" s="7" t="b">
        <v>0</v>
      </c>
      <c r="U52" s="8" t="inlineStr">
        <is>
          <t>جمع 483,325,000,000</t>
        </is>
      </c>
      <c r="V52" s="7" t="n"/>
      <c r="W52" s="7" t="inlineStr">
        <is>
          <t>دريافتي</t>
        </is>
      </c>
      <c r="X52" s="7" t="n">
        <v>0</v>
      </c>
    </row>
    <row r="53">
      <c r="A53" s="11" t="n">
        <v>1105</v>
      </c>
      <c r="B53" s="49" t="inlineStr">
        <is>
          <t>411514</t>
        </is>
      </c>
      <c r="C53" s="11" t="inlineStr">
        <is>
          <t>c</t>
        </is>
      </c>
      <c r="D53" s="11" t="n">
        <v>3</v>
      </c>
      <c r="E53" s="11" t="n">
        <v>2808</v>
      </c>
      <c r="F53" s="11" t="n">
        <v>140097</v>
      </c>
      <c r="G53" s="11" t="n">
        <v>1404237</v>
      </c>
      <c r="H53" s="11" t="n">
        <v>14040821</v>
      </c>
      <c r="I53" s="11" t="n">
        <v>0</v>
      </c>
      <c r="J53" s="11" t="n">
        <v>1001</v>
      </c>
      <c r="K53" s="11" t="n">
        <v>14050720</v>
      </c>
      <c r="L53" s="14" t="n">
        <v>935000000</v>
      </c>
      <c r="M53" s="12" t="inlineStr">
        <is>
          <t>9323010086549909</t>
        </is>
      </c>
      <c r="N53" s="11" t="n">
        <v>0</v>
      </c>
      <c r="O53" s="12" t="inlineStr">
        <is>
          <t xml:space="preserve"> * بانک ملي بلوار سجاد</t>
        </is>
      </c>
      <c r="P53" s="11" t="n">
        <v>1110</v>
      </c>
      <c r="Q53" s="11" t="n">
        <v>605</v>
      </c>
      <c r="R53" s="12" t="inlineStr">
        <is>
          <t>اقاي ضيافتي</t>
        </is>
      </c>
      <c r="S53" s="11" t="n">
        <v>14040821</v>
      </c>
      <c r="T53" s="11" t="b">
        <v>0</v>
      </c>
      <c r="U53" s="12" t="inlineStr">
        <is>
          <t>جمع 483,325,000,000</t>
        </is>
      </c>
      <c r="V53" s="11" t="n"/>
      <c r="W53" s="11" t="inlineStr">
        <is>
          <t>دريافتي</t>
        </is>
      </c>
      <c r="X53" s="11" t="n">
        <v>0</v>
      </c>
    </row>
    <row r="54">
      <c r="A54" s="7" t="n">
        <v>1105</v>
      </c>
      <c r="B54" s="52" t="inlineStr">
        <is>
          <t>262103</t>
        </is>
      </c>
      <c r="C54" s="7" t="inlineStr">
        <is>
          <t>c</t>
        </is>
      </c>
      <c r="D54" s="7" t="n">
        <v>12</v>
      </c>
      <c r="E54" s="7" t="n">
        <v>2668</v>
      </c>
      <c r="F54" s="7" t="n">
        <v>135475</v>
      </c>
      <c r="G54" s="7" t="n">
        <v>1404194</v>
      </c>
      <c r="H54" s="7" t="n">
        <v>14040708</v>
      </c>
      <c r="I54" s="7" t="n">
        <v>0</v>
      </c>
      <c r="J54" s="7" t="n">
        <v>1001</v>
      </c>
      <c r="K54" s="7" t="n">
        <v>14050721</v>
      </c>
      <c r="L54" s="13" t="n">
        <v>340000000</v>
      </c>
      <c r="M54" s="8" t="inlineStr">
        <is>
          <t>5690040076021425</t>
        </is>
      </c>
      <c r="N54" s="7" t="n">
        <v>0</v>
      </c>
      <c r="O54" s="8" t="inlineStr">
        <is>
          <t xml:space="preserve"> * کشاورزي طوس</t>
        </is>
      </c>
      <c r="P54" s="7" t="n">
        <v>1110</v>
      </c>
      <c r="Q54" s="7" t="n">
        <v>605</v>
      </c>
      <c r="R54" s="8" t="inlineStr">
        <is>
          <t>اقاي ضيافتي</t>
        </is>
      </c>
      <c r="S54" s="7" t="n">
        <v>14040708</v>
      </c>
      <c r="T54" s="7" t="b">
        <v>0</v>
      </c>
      <c r="U54" s="8" t="inlineStr">
        <is>
          <t>جمع 483,325,000,000</t>
        </is>
      </c>
      <c r="V54" s="7" t="n"/>
      <c r="W54" s="7" t="inlineStr">
        <is>
          <t>دريافتي</t>
        </is>
      </c>
      <c r="X54" s="7" t="n">
        <v>0</v>
      </c>
    </row>
    <row r="55">
      <c r="A55" s="11" t="n">
        <v>1105</v>
      </c>
      <c r="B55" s="49" t="inlineStr">
        <is>
          <t>750111</t>
        </is>
      </c>
      <c r="C55" s="11" t="inlineStr">
        <is>
          <t>c</t>
        </is>
      </c>
      <c r="D55" s="11" t="n">
        <v>4</v>
      </c>
      <c r="E55" s="11" t="n">
        <v>3092</v>
      </c>
      <c r="F55" s="11" t="n">
        <v>150875</v>
      </c>
      <c r="G55" s="11" t="n">
        <v>1405024</v>
      </c>
      <c r="H55" s="11" t="n">
        <v>14050124</v>
      </c>
      <c r="I55" s="11" t="n">
        <v>0</v>
      </c>
      <c r="J55" s="11" t="n">
        <v>1001</v>
      </c>
      <c r="K55" s="11" t="n">
        <v>14050722</v>
      </c>
      <c r="L55" s="14" t="n">
        <v>15000000000</v>
      </c>
      <c r="M55" s="12" t="inlineStr">
        <is>
          <t>7510050000558312</t>
        </is>
      </c>
      <c r="N55" s="11" t="n">
        <v>0</v>
      </c>
      <c r="O55" s="12" t="inlineStr">
        <is>
          <t xml:space="preserve"> * تجارت خيابان تهران</t>
        </is>
      </c>
      <c r="P55" s="11" t="n">
        <v>1110</v>
      </c>
      <c r="Q55" s="11" t="n">
        <v>605</v>
      </c>
      <c r="R55" s="12" t="inlineStr">
        <is>
          <t>اقاي ضيافتي</t>
        </is>
      </c>
      <c r="S55" s="11" t="n">
        <v>14050124</v>
      </c>
      <c r="T55" s="11" t="b">
        <v>0</v>
      </c>
      <c r="U55" s="12" t="inlineStr">
        <is>
          <t>جمع 483,325,000,000</t>
        </is>
      </c>
      <c r="V55" s="11" t="n"/>
      <c r="W55" s="11" t="inlineStr">
        <is>
          <t>دريافتي</t>
        </is>
      </c>
      <c r="X55" s="11" t="n">
        <v>0</v>
      </c>
    </row>
    <row r="56">
      <c r="A56" s="7" t="n">
        <v>1105</v>
      </c>
      <c r="B56" s="52" t="inlineStr">
        <is>
          <t>093814</t>
        </is>
      </c>
      <c r="C56" s="7" t="inlineStr">
        <is>
          <t>c</t>
        </is>
      </c>
      <c r="D56" s="7" t="n">
        <v>14</v>
      </c>
      <c r="E56" s="7" t="n">
        <v>3135</v>
      </c>
      <c r="F56" s="7" t="n">
        <v>151721</v>
      </c>
      <c r="G56" s="7" t="n">
        <v>1405034</v>
      </c>
      <c r="H56" s="7" t="n">
        <v>14050203</v>
      </c>
      <c r="I56" s="7" t="n">
        <v>0</v>
      </c>
      <c r="J56" s="7" t="n">
        <v>1001</v>
      </c>
      <c r="K56" s="7" t="n">
        <v>14050724</v>
      </c>
      <c r="L56" s="13" t="n">
        <v>3720000000</v>
      </c>
      <c r="M56" s="8" t="inlineStr">
        <is>
          <t>7646040094693690</t>
        </is>
      </c>
      <c r="N56" s="7" t="n">
        <v>0</v>
      </c>
      <c r="O56" s="8" t="inlineStr">
        <is>
          <t xml:space="preserve"> * سپه بازار بزرگ اطلس</t>
        </is>
      </c>
      <c r="P56" s="7" t="n">
        <v>1110</v>
      </c>
      <c r="Q56" s="7" t="n">
        <v>605</v>
      </c>
      <c r="R56" s="8" t="inlineStr">
        <is>
          <t>اقاي ضيافتي</t>
        </is>
      </c>
      <c r="S56" s="7" t="n">
        <v>14050203</v>
      </c>
      <c r="T56" s="7" t="b">
        <v>0</v>
      </c>
      <c r="U56" s="8" t="inlineStr">
        <is>
          <t>جمع 483,325,000,000</t>
        </is>
      </c>
      <c r="V56" s="7" t="n"/>
      <c r="W56" s="7" t="inlineStr">
        <is>
          <t>دريافتي</t>
        </is>
      </c>
      <c r="X56" s="7" t="n">
        <v>0</v>
      </c>
    </row>
    <row r="57">
      <c r="A57" s="11" t="n">
        <v>1105</v>
      </c>
      <c r="B57" s="49" t="inlineStr">
        <is>
          <t>415570</t>
        </is>
      </c>
      <c r="C57" s="11" t="inlineStr">
        <is>
          <t>c</t>
        </is>
      </c>
      <c r="D57" s="11" t="n">
        <v>7</v>
      </c>
      <c r="E57" s="11" t="n">
        <v>3273</v>
      </c>
      <c r="F57" s="11" t="n">
        <v>155293</v>
      </c>
      <c r="G57" s="11" t="n">
        <v>1405081</v>
      </c>
      <c r="H57" s="11" t="n">
        <v>14050319</v>
      </c>
      <c r="I57" s="11" t="n">
        <v>0</v>
      </c>
      <c r="J57" s="11" t="n">
        <v>1001</v>
      </c>
      <c r="K57" s="11" t="n">
        <v>14050724</v>
      </c>
      <c r="L57" s="14" t="n">
        <v>220000000</v>
      </c>
      <c r="M57" s="12" t="inlineStr">
        <is>
          <t>7704040137481904</t>
        </is>
      </c>
      <c r="N57" s="11" t="n">
        <v>0</v>
      </c>
      <c r="O57" s="12" t="inlineStr">
        <is>
          <t xml:space="preserve"> * پاسارگاد احمداباد</t>
        </is>
      </c>
      <c r="P57" s="11" t="n">
        <v>1110</v>
      </c>
      <c r="Q57" s="11" t="n">
        <v>537</v>
      </c>
      <c r="R57" s="12" t="inlineStr">
        <is>
          <t>داوود خراساني خريد ساينا اس</t>
        </is>
      </c>
      <c r="S57" s="11" t="n">
        <v>14050319</v>
      </c>
      <c r="T57" s="11" t="b">
        <v>0</v>
      </c>
      <c r="U57" s="12" t="inlineStr">
        <is>
          <t>جمع 483,325,000,000</t>
        </is>
      </c>
      <c r="V57" s="11" t="n"/>
      <c r="W57" s="11" t="inlineStr">
        <is>
          <t>دريافتي</t>
        </is>
      </c>
      <c r="X57" s="11" t="n">
        <v>0</v>
      </c>
    </row>
    <row r="58">
      <c r="A58" s="7" t="n">
        <v>1105</v>
      </c>
      <c r="B58" s="52" t="inlineStr">
        <is>
          <t>284935</t>
        </is>
      </c>
      <c r="C58" s="7" t="inlineStr">
        <is>
          <t>c</t>
        </is>
      </c>
      <c r="D58" s="7" t="n">
        <v>3</v>
      </c>
      <c r="E58" s="7" t="n">
        <v>3086</v>
      </c>
      <c r="F58" s="7" t="n">
        <v>150067</v>
      </c>
      <c r="G58" s="7" t="n">
        <v>1405015</v>
      </c>
      <c r="H58" s="7" t="n">
        <v>14050115</v>
      </c>
      <c r="I58" s="7" t="n">
        <v>0</v>
      </c>
      <c r="J58" s="7" t="n">
        <v>1001</v>
      </c>
      <c r="K58" s="7" t="n">
        <v>14050725</v>
      </c>
      <c r="L58" s="13" t="n">
        <v>2200000000</v>
      </c>
      <c r="M58" s="8" t="inlineStr">
        <is>
          <t xml:space="preserve">2987040018207050-ريحانه روضه خوان - اسکندري </t>
        </is>
      </c>
      <c r="N58" s="7" t="n">
        <v>0</v>
      </c>
      <c r="O58" s="8" t="inlineStr">
        <is>
          <t xml:space="preserve"> * بانک ملي ب سازمان آب 8554</t>
        </is>
      </c>
      <c r="P58" s="7" t="n">
        <v>1110</v>
      </c>
      <c r="Q58" s="7" t="n">
        <v>605</v>
      </c>
      <c r="R58" s="8" t="inlineStr">
        <is>
          <t>اقاي ضيافتي</t>
        </is>
      </c>
      <c r="S58" s="7" t="n">
        <v>14050115</v>
      </c>
      <c r="T58" s="7" t="b">
        <v>0</v>
      </c>
      <c r="U58" s="8" t="inlineStr">
        <is>
          <t>جمع 483,325,000,000</t>
        </is>
      </c>
      <c r="V58" s="7" t="n"/>
      <c r="W58" s="7" t="inlineStr">
        <is>
          <t>دريافتي</t>
        </is>
      </c>
      <c r="X58" s="7" t="n">
        <v>0</v>
      </c>
    </row>
    <row r="59">
      <c r="A59" s="11" t="n">
        <v>1105</v>
      </c>
      <c r="B59" s="49" t="inlineStr">
        <is>
          <t>186921</t>
        </is>
      </c>
      <c r="C59" s="11" t="inlineStr">
        <is>
          <t>c</t>
        </is>
      </c>
      <c r="D59" s="11" t="n">
        <v>15</v>
      </c>
      <c r="E59" s="11" t="n">
        <v>3110</v>
      </c>
      <c r="F59" s="11" t="n">
        <v>151065</v>
      </c>
      <c r="G59" s="11" t="n">
        <v>1405027</v>
      </c>
      <c r="H59" s="11" t="n">
        <v>14050127</v>
      </c>
      <c r="I59" s="11" t="n">
        <v>0</v>
      </c>
      <c r="J59" s="11" t="n">
        <v>1001</v>
      </c>
      <c r="K59" s="11" t="n">
        <v>14050725</v>
      </c>
      <c r="L59" s="14" t="n">
        <v>2000000000</v>
      </c>
      <c r="M59" s="12" t="inlineStr">
        <is>
          <t>1650010182049909</t>
        </is>
      </c>
      <c r="N59" s="11" t="n">
        <v>0</v>
      </c>
      <c r="O59" s="12" t="inlineStr">
        <is>
          <t xml:space="preserve"> * ملت جمهوري اسلامي مشهد</t>
        </is>
      </c>
      <c r="P59" s="11" t="n">
        <v>1110</v>
      </c>
      <c r="Q59" s="11" t="n">
        <v>605</v>
      </c>
      <c r="R59" s="12" t="inlineStr">
        <is>
          <t>اقاي ضيافتي</t>
        </is>
      </c>
      <c r="S59" s="11" t="n">
        <v>14050127</v>
      </c>
      <c r="T59" s="11" t="b">
        <v>0</v>
      </c>
      <c r="U59" s="12" t="inlineStr">
        <is>
          <t>جمع 483,325,000,000</t>
        </is>
      </c>
      <c r="V59" s="11" t="n"/>
      <c r="W59" s="11" t="inlineStr">
        <is>
          <t>دريافتي</t>
        </is>
      </c>
      <c r="X59" s="11" t="n">
        <v>0</v>
      </c>
    </row>
    <row r="60">
      <c r="A60" s="7" t="n">
        <v>1105</v>
      </c>
      <c r="B60" s="52" t="inlineStr">
        <is>
          <t>849738</t>
        </is>
      </c>
      <c r="C60" s="7" t="inlineStr">
        <is>
          <t>c</t>
        </is>
      </c>
      <c r="D60" s="7" t="n">
        <v>25</v>
      </c>
      <c r="E60" s="7" t="n">
        <v>3258</v>
      </c>
      <c r="F60" s="7" t="n">
        <v>155203</v>
      </c>
      <c r="G60" s="7" t="n">
        <v>1405081</v>
      </c>
      <c r="H60" s="7" t="n">
        <v>14050319</v>
      </c>
      <c r="I60" s="7" t="n">
        <v>0</v>
      </c>
      <c r="J60" s="7" t="n">
        <v>1001</v>
      </c>
      <c r="K60" s="7" t="n">
        <v>14050725</v>
      </c>
      <c r="L60" s="13" t="n">
        <v>2190000000</v>
      </c>
      <c r="M60" s="8" t="inlineStr">
        <is>
          <t>9910040201829536</t>
        </is>
      </c>
      <c r="N60" s="7" t="n">
        <v>0</v>
      </c>
      <c r="O60" s="8" t="inlineStr">
        <is>
          <t xml:space="preserve"> * مسکن وکيل اباد</t>
        </is>
      </c>
      <c r="P60" s="7" t="n">
        <v>1110</v>
      </c>
      <c r="Q60" s="7" t="n">
        <v>605</v>
      </c>
      <c r="R60" s="8" t="inlineStr">
        <is>
          <t>اقاي ضيافتي</t>
        </is>
      </c>
      <c r="S60" s="7" t="n">
        <v>14050319</v>
      </c>
      <c r="T60" s="7" t="b">
        <v>0</v>
      </c>
      <c r="U60" s="8" t="inlineStr">
        <is>
          <t>جمع 483,325,000,000</t>
        </is>
      </c>
      <c r="V60" s="7" t="n"/>
      <c r="W60" s="7" t="inlineStr">
        <is>
          <t>دريافتي</t>
        </is>
      </c>
      <c r="X60" s="7" t="n">
        <v>0</v>
      </c>
    </row>
    <row r="61">
      <c r="A61" s="11" t="n">
        <v>1105</v>
      </c>
      <c r="B61" s="49" t="inlineStr">
        <is>
          <t>076149</t>
        </is>
      </c>
      <c r="C61" s="11" t="inlineStr">
        <is>
          <t>c</t>
        </is>
      </c>
      <c r="D61" s="11" t="n">
        <v>9</v>
      </c>
      <c r="E61" s="11" t="n">
        <v>3286</v>
      </c>
      <c r="F61" s="11" t="n">
        <v>156705</v>
      </c>
      <c r="G61" s="11" t="n">
        <v>1405103</v>
      </c>
      <c r="H61" s="11" t="n">
        <v>14050410</v>
      </c>
      <c r="I61" s="11" t="n">
        <v>0</v>
      </c>
      <c r="J61" s="11" t="n">
        <v>1001</v>
      </c>
      <c r="K61" s="11" t="n">
        <v>14050725</v>
      </c>
      <c r="L61" s="14" t="n">
        <v>11520000000</v>
      </c>
      <c r="M61" s="12" t="inlineStr">
        <is>
          <t>4204010168700706</t>
        </is>
      </c>
      <c r="N61" s="11" t="n">
        <v>0</v>
      </c>
      <c r="O61" s="12" t="inlineStr">
        <is>
          <t xml:space="preserve"> * صادرات شهرک صنعتي طرق</t>
        </is>
      </c>
      <c r="P61" s="11" t="n">
        <v>1110</v>
      </c>
      <c r="Q61" s="11" t="n">
        <v>605</v>
      </c>
      <c r="R61" s="12" t="inlineStr">
        <is>
          <t>اقاي ضيافتي</t>
        </is>
      </c>
      <c r="S61" s="11" t="n">
        <v>14050410</v>
      </c>
      <c r="T61" s="11" t="b">
        <v>0</v>
      </c>
      <c r="U61" s="12" t="inlineStr">
        <is>
          <t>جمع 483,325,000,000</t>
        </is>
      </c>
      <c r="V61" s="11" t="n"/>
      <c r="W61" s="11" t="inlineStr">
        <is>
          <t>دريافتي</t>
        </is>
      </c>
      <c r="X61" s="11" t="n">
        <v>0</v>
      </c>
    </row>
    <row r="62">
      <c r="A62" s="7" t="n">
        <v>1105</v>
      </c>
      <c r="B62" s="52" t="inlineStr">
        <is>
          <t>85506614</t>
        </is>
      </c>
      <c r="C62" s="7" t="inlineStr">
        <is>
          <t>c</t>
        </is>
      </c>
      <c r="D62" s="7" t="n">
        <v>15</v>
      </c>
      <c r="E62" s="7" t="n">
        <v>3291</v>
      </c>
      <c r="F62" s="7" t="n">
        <v>156903</v>
      </c>
      <c r="G62" s="7" t="n">
        <v>1405106</v>
      </c>
      <c r="H62" s="7" t="n">
        <v>14050413</v>
      </c>
      <c r="I62" s="7" t="n">
        <v>0</v>
      </c>
      <c r="J62" s="7" t="n">
        <v>1001</v>
      </c>
      <c r="K62" s="7" t="n">
        <v>14050725</v>
      </c>
      <c r="L62" s="13" t="n">
        <v>5500000000</v>
      </c>
      <c r="M62" s="8" t="inlineStr">
        <is>
          <t>6377050004531112</t>
        </is>
      </c>
      <c r="N62" s="7" t="n">
        <v>0</v>
      </c>
      <c r="O62" s="8" t="inlineStr">
        <is>
          <t xml:space="preserve"> * ملت شيرازي</t>
        </is>
      </c>
      <c r="P62" s="7" t="n">
        <v>1110</v>
      </c>
      <c r="Q62" s="7" t="n">
        <v>605</v>
      </c>
      <c r="R62" s="8" t="inlineStr">
        <is>
          <t>اقاي ضيافتي</t>
        </is>
      </c>
      <c r="S62" s="7" t="n">
        <v>14050413</v>
      </c>
      <c r="T62" s="7" t="b">
        <v>0</v>
      </c>
      <c r="U62" s="8" t="inlineStr">
        <is>
          <t>جمع 483,325,000,000</t>
        </is>
      </c>
      <c r="V62" s="7" t="n"/>
      <c r="W62" s="7" t="inlineStr">
        <is>
          <t>دريافتي</t>
        </is>
      </c>
      <c r="X62" s="7" t="n">
        <v>0</v>
      </c>
    </row>
    <row r="63">
      <c r="A63" s="11" t="n">
        <v>1105</v>
      </c>
      <c r="B63" s="49" t="inlineStr">
        <is>
          <t>2999903</t>
        </is>
      </c>
      <c r="C63" s="11" t="inlineStr">
        <is>
          <t>c</t>
        </is>
      </c>
      <c r="D63" s="11" t="n">
        <v>12</v>
      </c>
      <c r="E63" s="11" t="n">
        <v>3315</v>
      </c>
      <c r="F63" s="11" t="n">
        <v>157863</v>
      </c>
      <c r="G63" s="11" t="n">
        <v>1405121</v>
      </c>
      <c r="H63" s="11" t="n">
        <v>14050428</v>
      </c>
      <c r="I63" s="11" t="n">
        <v>0</v>
      </c>
      <c r="J63" s="11" t="n">
        <v>1001</v>
      </c>
      <c r="K63" s="11" t="n">
        <v>14050725</v>
      </c>
      <c r="L63" s="14" t="n">
        <v>15000000000</v>
      </c>
      <c r="M63" s="12" t="inlineStr">
        <is>
          <t>4317050049334681</t>
        </is>
      </c>
      <c r="N63" s="11" t="n">
        <v>0</v>
      </c>
      <c r="O63" s="12" t="inlineStr">
        <is>
          <t xml:space="preserve"> * کشاورزي امام رضا </t>
        </is>
      </c>
      <c r="P63" s="11" t="n">
        <v>1110</v>
      </c>
      <c r="Q63" s="11" t="n">
        <v>605</v>
      </c>
      <c r="R63" s="12" t="inlineStr">
        <is>
          <t>اقاي ضيافتي</t>
        </is>
      </c>
      <c r="S63" s="11" t="n">
        <v>14050428</v>
      </c>
      <c r="T63" s="11" t="b">
        <v>0</v>
      </c>
      <c r="U63" s="12" t="inlineStr">
        <is>
          <t>جمع 483,325,000,000</t>
        </is>
      </c>
      <c r="V63" s="11" t="n"/>
      <c r="W63" s="11" t="inlineStr">
        <is>
          <t>دريافتي</t>
        </is>
      </c>
      <c r="X63" s="11" t="n">
        <v>0</v>
      </c>
    </row>
    <row r="64">
      <c r="A64" s="7" t="n">
        <v>1105</v>
      </c>
      <c r="B64" s="52" t="inlineStr">
        <is>
          <t>970085</t>
        </is>
      </c>
      <c r="C64" s="7" t="inlineStr">
        <is>
          <t>c</t>
        </is>
      </c>
      <c r="D64" s="7" t="n">
        <v>3</v>
      </c>
      <c r="E64" s="7" t="n">
        <v>2146</v>
      </c>
      <c r="F64" s="7" t="n">
        <v>111647</v>
      </c>
      <c r="G64" s="7" t="n">
        <v>1403281</v>
      </c>
      <c r="H64" s="7" t="n">
        <v>14031005</v>
      </c>
      <c r="I64" s="7" t="n">
        <v>0</v>
      </c>
      <c r="J64" s="7" t="n">
        <v>1001</v>
      </c>
      <c r="K64" s="7" t="n">
        <v>14050801</v>
      </c>
      <c r="L64" s="13" t="n">
        <v>5660000000</v>
      </c>
      <c r="M64" s="8" t="inlineStr">
        <is>
          <t>6200030099110171</t>
        </is>
      </c>
      <c r="N64" s="7" t="n">
        <v>0</v>
      </c>
      <c r="O64" s="8" t="inlineStr">
        <is>
          <t xml:space="preserve"> * بانک ملي کوي المهدي 8601</t>
        </is>
      </c>
      <c r="P64" s="7" t="n">
        <v>1110</v>
      </c>
      <c r="Q64" s="7" t="n">
        <v>689</v>
      </c>
      <c r="R64" s="8" t="inlineStr">
        <is>
          <t>ملک هاشميه</t>
        </is>
      </c>
      <c r="S64" s="7" t="n">
        <v>14031005</v>
      </c>
      <c r="T64" s="7" t="b">
        <v>0</v>
      </c>
      <c r="U64" s="8" t="inlineStr">
        <is>
          <t>جمع 483,325,000,000</t>
        </is>
      </c>
      <c r="V64" s="7" t="n">
        <v>0</v>
      </c>
      <c r="W64" s="7" t="inlineStr">
        <is>
          <t>دريافتي</t>
        </is>
      </c>
      <c r="X64" s="7" t="n">
        <v>0</v>
      </c>
    </row>
    <row r="65">
      <c r="A65" s="11" t="n">
        <v>1105</v>
      </c>
      <c r="B65" s="49" t="inlineStr">
        <is>
          <t>33878317</t>
        </is>
      </c>
      <c r="C65" s="11" t="inlineStr">
        <is>
          <t>c</t>
        </is>
      </c>
      <c r="D65" s="11" t="n">
        <v>15</v>
      </c>
      <c r="E65" s="11" t="n">
        <v>3143</v>
      </c>
      <c r="F65" s="11" t="n">
        <v>151809</v>
      </c>
      <c r="G65" s="11" t="n">
        <v>1405036</v>
      </c>
      <c r="H65" s="11" t="n">
        <v>14050205</v>
      </c>
      <c r="I65" s="11" t="n">
        <v>0</v>
      </c>
      <c r="J65" s="11" t="n">
        <v>1001</v>
      </c>
      <c r="K65" s="11" t="n">
        <v>14050801</v>
      </c>
      <c r="L65" s="14" t="n">
        <v>2620000000</v>
      </c>
      <c r="M65" s="12" t="inlineStr">
        <is>
          <t>2400040184813904</t>
        </is>
      </c>
      <c r="N65" s="11" t="n">
        <v>0</v>
      </c>
      <c r="O65" s="12" t="inlineStr">
        <is>
          <t xml:space="preserve"> * ملت دانش اموز</t>
        </is>
      </c>
      <c r="P65" s="11" t="n">
        <v>1110</v>
      </c>
      <c r="Q65" s="11" t="n">
        <v>605</v>
      </c>
      <c r="R65" s="12" t="inlineStr">
        <is>
          <t>اقاي ضيافتي</t>
        </is>
      </c>
      <c r="S65" s="11" t="n">
        <v>14050205</v>
      </c>
      <c r="T65" s="11" t="b">
        <v>0</v>
      </c>
      <c r="U65" s="12" t="inlineStr">
        <is>
          <t>جمع 483,325,000,000</t>
        </is>
      </c>
      <c r="V65" s="11" t="n"/>
      <c r="W65" s="11" t="inlineStr">
        <is>
          <t>دريافتي</t>
        </is>
      </c>
      <c r="X65" s="11" t="n">
        <v>0</v>
      </c>
    </row>
    <row r="66">
      <c r="A66" s="7" t="n">
        <v>1105</v>
      </c>
      <c r="B66" s="52" t="inlineStr">
        <is>
          <t>135600</t>
        </is>
      </c>
      <c r="C66" s="7" t="inlineStr">
        <is>
          <t>c</t>
        </is>
      </c>
      <c r="D66" s="7" t="n">
        <v>21</v>
      </c>
      <c r="E66" s="7" t="n">
        <v>3345</v>
      </c>
      <c r="F66" s="7" t="n">
        <v>159001</v>
      </c>
      <c r="G66" s="7" t="n">
        <v>1405135</v>
      </c>
      <c r="H66" s="7" t="n">
        <v>14050511</v>
      </c>
      <c r="I66" s="7" t="n">
        <v>0</v>
      </c>
      <c r="J66" s="7" t="n">
        <v>1001</v>
      </c>
      <c r="K66" s="7" t="n">
        <v>14050801</v>
      </c>
      <c r="L66" s="13" t="n">
        <v>1000000000</v>
      </c>
      <c r="M66" s="8" t="inlineStr">
        <is>
          <t>5540050019357730</t>
        </is>
      </c>
      <c r="N66" s="7" t="n">
        <v>0</v>
      </c>
      <c r="O66" s="8" t="inlineStr">
        <is>
          <t xml:space="preserve"> * قرض الحسنه رسالت بانکداري اجتماعيي</t>
        </is>
      </c>
      <c r="P66" s="7" t="n">
        <v>1110</v>
      </c>
      <c r="Q66" s="7" t="n">
        <v>596</v>
      </c>
      <c r="R66" s="8" t="inlineStr">
        <is>
          <t>مرتضي پيروزيان</t>
        </is>
      </c>
      <c r="S66" s="7" t="n">
        <v>14050511</v>
      </c>
      <c r="T66" s="7" t="b">
        <v>0</v>
      </c>
      <c r="U66" s="8" t="inlineStr">
        <is>
          <t>جمع 483,325,000,000</t>
        </is>
      </c>
      <c r="V66" s="7" t="n"/>
      <c r="W66" s="7" t="inlineStr">
        <is>
          <t>دريافتي</t>
        </is>
      </c>
      <c r="X66" s="7" t="n">
        <v>0</v>
      </c>
    </row>
    <row r="67">
      <c r="A67" s="11" t="n">
        <v>1105</v>
      </c>
      <c r="B67" s="49" t="inlineStr">
        <is>
          <t>810233</t>
        </is>
      </c>
      <c r="C67" s="11" t="inlineStr">
        <is>
          <t>c</t>
        </is>
      </c>
      <c r="D67" s="11" t="n">
        <v>9</v>
      </c>
      <c r="E67" s="11" t="n">
        <v>3299</v>
      </c>
      <c r="F67" s="11" t="n">
        <v>157417</v>
      </c>
      <c r="G67" s="11" t="n">
        <v>1405114</v>
      </c>
      <c r="H67" s="11" t="n">
        <v>14050421</v>
      </c>
      <c r="I67" s="11" t="n">
        <v>0</v>
      </c>
      <c r="J67" s="11" t="n">
        <v>1001</v>
      </c>
      <c r="K67" s="11" t="n">
        <v>14050802</v>
      </c>
      <c r="L67" s="14" t="n">
        <v>2000000000</v>
      </c>
      <c r="M67" s="12" t="inlineStr">
        <is>
          <t>5533030010355252</t>
        </is>
      </c>
      <c r="N67" s="11" t="n">
        <v>0</v>
      </c>
      <c r="O67" s="12" t="inlineStr">
        <is>
          <t xml:space="preserve"> * صادرات صفاشم</t>
        </is>
      </c>
      <c r="P67" s="11" t="n">
        <v>1110</v>
      </c>
      <c r="Q67" s="11" t="n">
        <v>605</v>
      </c>
      <c r="R67" s="12" t="inlineStr">
        <is>
          <t>اقاي ضيافتي</t>
        </is>
      </c>
      <c r="S67" s="11" t="n">
        <v>14050421</v>
      </c>
      <c r="T67" s="11" t="b">
        <v>0</v>
      </c>
      <c r="U67" s="12" t="inlineStr">
        <is>
          <t>جمع 483,325,000,000</t>
        </is>
      </c>
      <c r="V67" s="11" t="n"/>
      <c r="W67" s="11" t="inlineStr">
        <is>
          <t>دريافتي</t>
        </is>
      </c>
      <c r="X67" s="11" t="n">
        <v>0</v>
      </c>
    </row>
    <row r="68">
      <c r="A68" s="7" t="n">
        <v>1105</v>
      </c>
      <c r="B68" s="52" t="inlineStr">
        <is>
          <t>239935</t>
        </is>
      </c>
      <c r="C68" s="7" t="inlineStr">
        <is>
          <t>c</t>
        </is>
      </c>
      <c r="D68" s="7" t="n">
        <v>12</v>
      </c>
      <c r="E68" s="7" t="n">
        <v>3320</v>
      </c>
      <c r="F68" s="7" t="n">
        <v>158303</v>
      </c>
      <c r="G68" s="7" t="n">
        <v>1405127</v>
      </c>
      <c r="H68" s="7" t="n">
        <v>14050503</v>
      </c>
      <c r="I68" s="7" t="n">
        <v>0</v>
      </c>
      <c r="J68" s="7" t="n">
        <v>1001</v>
      </c>
      <c r="K68" s="7" t="n">
        <v>14050803</v>
      </c>
      <c r="L68" s="13" t="n">
        <v>1000000000</v>
      </c>
      <c r="M68" s="8" t="inlineStr">
        <is>
          <t>6663040061560089</t>
        </is>
      </c>
      <c r="N68" s="7" t="n">
        <v>0</v>
      </c>
      <c r="O68" s="8" t="inlineStr">
        <is>
          <t xml:space="preserve"> * کشاورزي شريعتي</t>
        </is>
      </c>
      <c r="P68" s="7" t="n">
        <v>1110</v>
      </c>
      <c r="Q68" s="7" t="n">
        <v>605</v>
      </c>
      <c r="R68" s="8" t="inlineStr">
        <is>
          <t>اقاي ضيافتي</t>
        </is>
      </c>
      <c r="S68" s="7" t="n">
        <v>14050503</v>
      </c>
      <c r="T68" s="7" t="b">
        <v>0</v>
      </c>
      <c r="U68" s="8" t="inlineStr">
        <is>
          <t>جمع 483,325,000,000</t>
        </is>
      </c>
      <c r="V68" s="7" t="n"/>
      <c r="W68" s="7" t="inlineStr">
        <is>
          <t>دريافتي</t>
        </is>
      </c>
      <c r="X68" s="7" t="n">
        <v>0</v>
      </c>
    </row>
    <row r="69">
      <c r="A69" s="11" t="n">
        <v>1105</v>
      </c>
      <c r="B69" s="49" t="inlineStr">
        <is>
          <t>189766</t>
        </is>
      </c>
      <c r="C69" s="11" t="inlineStr">
        <is>
          <t>c</t>
        </is>
      </c>
      <c r="D69" s="11" t="n">
        <v>3</v>
      </c>
      <c r="E69" s="11" t="n">
        <v>2904</v>
      </c>
      <c r="F69" s="11" t="n">
        <v>142723</v>
      </c>
      <c r="G69" s="11" t="n">
        <v>1404268</v>
      </c>
      <c r="H69" s="11" t="n">
        <v>14040922</v>
      </c>
      <c r="I69" s="11" t="n">
        <v>0</v>
      </c>
      <c r="J69" s="11" t="n">
        <v>1001</v>
      </c>
      <c r="K69" s="11" t="n">
        <v>14050805</v>
      </c>
      <c r="L69" s="14" t="n">
        <v>3100000000</v>
      </c>
      <c r="M69" s="12" t="inlineStr">
        <is>
          <t>4962040121634561</t>
        </is>
      </c>
      <c r="N69" s="11" t="n">
        <v>0</v>
      </c>
      <c r="O69" s="12" t="inlineStr">
        <is>
          <t xml:space="preserve"> * بانک ملي کوي المهدي</t>
        </is>
      </c>
      <c r="P69" s="11" t="n">
        <v>1110</v>
      </c>
      <c r="Q69" s="11" t="n">
        <v>605</v>
      </c>
      <c r="R69" s="12" t="inlineStr">
        <is>
          <t>اقاي ضيافتي</t>
        </is>
      </c>
      <c r="S69" s="11" t="n">
        <v>14040922</v>
      </c>
      <c r="T69" s="11" t="b">
        <v>0</v>
      </c>
      <c r="U69" s="12" t="inlineStr">
        <is>
          <t>جمع 483,325,000,000</t>
        </is>
      </c>
      <c r="V69" s="11" t="n"/>
      <c r="W69" s="11" t="inlineStr">
        <is>
          <t>دريافتي</t>
        </is>
      </c>
      <c r="X69" s="11" t="n">
        <v>0</v>
      </c>
    </row>
    <row r="70">
      <c r="A70" s="7" t="n">
        <v>1105</v>
      </c>
      <c r="B70" s="52" t="inlineStr">
        <is>
          <t>902052</t>
        </is>
      </c>
      <c r="C70" s="7" t="inlineStr">
        <is>
          <t>c</t>
        </is>
      </c>
      <c r="D70" s="7" t="n">
        <v>14</v>
      </c>
      <c r="E70" s="7" t="n">
        <v>3284</v>
      </c>
      <c r="F70" s="7" t="n">
        <v>156665</v>
      </c>
      <c r="G70" s="7" t="n">
        <v>1405103</v>
      </c>
      <c r="H70" s="7" t="n">
        <v>14050410</v>
      </c>
      <c r="I70" s="7" t="n">
        <v>0</v>
      </c>
      <c r="J70" s="7" t="n">
        <v>1001</v>
      </c>
      <c r="K70" s="7" t="n">
        <v>14050805</v>
      </c>
      <c r="L70" s="13" t="n">
        <v>6800000000</v>
      </c>
      <c r="M70" s="8" t="inlineStr">
        <is>
          <t>9515050044994052</t>
        </is>
      </c>
      <c r="N70" s="7" t="n">
        <v>0</v>
      </c>
      <c r="O70" s="8" t="inlineStr">
        <is>
          <t xml:space="preserve"> * سپه بلوار فرودگاه مشهد</t>
        </is>
      </c>
      <c r="P70" s="7" t="n">
        <v>1110</v>
      </c>
      <c r="Q70" s="7" t="n">
        <v>605</v>
      </c>
      <c r="R70" s="8" t="inlineStr">
        <is>
          <t>اقاي ضيافتي</t>
        </is>
      </c>
      <c r="S70" s="7" t="n">
        <v>14050410</v>
      </c>
      <c r="T70" s="7" t="b">
        <v>0</v>
      </c>
      <c r="U70" s="8" t="inlineStr">
        <is>
          <t>جمع 483,325,000,000</t>
        </is>
      </c>
      <c r="V70" s="7" t="n"/>
      <c r="W70" s="7" t="inlineStr">
        <is>
          <t>دريافتي</t>
        </is>
      </c>
      <c r="X70" s="7" t="n">
        <v>0</v>
      </c>
    </row>
    <row r="71">
      <c r="A71" s="11" t="n">
        <v>1105</v>
      </c>
      <c r="B71" s="49" t="inlineStr">
        <is>
          <t>349379</t>
        </is>
      </c>
      <c r="C71" s="11" t="inlineStr">
        <is>
          <t>c</t>
        </is>
      </c>
      <c r="D71" s="11" t="n">
        <v>14</v>
      </c>
      <c r="E71" s="11" t="n">
        <v>3043</v>
      </c>
      <c r="F71" s="11" t="n">
        <v>148191</v>
      </c>
      <c r="G71" s="11" t="n">
        <v>1404341</v>
      </c>
      <c r="H71" s="11" t="n">
        <v>14041205</v>
      </c>
      <c r="I71" s="11" t="n">
        <v>0</v>
      </c>
      <c r="J71" s="11" t="n">
        <v>1001</v>
      </c>
      <c r="K71" s="11" t="n">
        <v>14050806</v>
      </c>
      <c r="L71" s="14" t="n">
        <v>1400000000</v>
      </c>
      <c r="M71" s="12" t="inlineStr">
        <is>
          <t>2512020042035577</t>
        </is>
      </c>
      <c r="N71" s="11" t="n">
        <v>0</v>
      </c>
      <c r="O71" s="12" t="inlineStr">
        <is>
          <t xml:space="preserve"> * سپه امام خميني</t>
        </is>
      </c>
      <c r="P71" s="11" t="n">
        <v>1110</v>
      </c>
      <c r="Q71" s="11" t="n">
        <v>758</v>
      </c>
      <c r="R71" s="12" t="inlineStr">
        <is>
          <t>ميلاد داوري</t>
        </is>
      </c>
      <c r="S71" s="11" t="n">
        <v>14041205</v>
      </c>
      <c r="T71" s="11" t="b">
        <v>0</v>
      </c>
      <c r="U71" s="12" t="inlineStr">
        <is>
          <t>جمع 483,325,000,000</t>
        </is>
      </c>
      <c r="V71" s="11" t="n"/>
      <c r="W71" s="11" t="inlineStr">
        <is>
          <t>دريافتي</t>
        </is>
      </c>
      <c r="X71" s="11" t="n">
        <v>0</v>
      </c>
    </row>
    <row r="72">
      <c r="A72" s="7" t="n">
        <v>1105</v>
      </c>
      <c r="B72" s="52" t="inlineStr">
        <is>
          <t>030618</t>
        </is>
      </c>
      <c r="C72" s="7" t="inlineStr">
        <is>
          <t>c</t>
        </is>
      </c>
      <c r="D72" s="7" t="n">
        <v>14</v>
      </c>
      <c r="E72" s="7" t="n">
        <v>3151</v>
      </c>
      <c r="F72" s="7" t="n">
        <v>151909</v>
      </c>
      <c r="G72" s="7" t="n">
        <v>1405037</v>
      </c>
      <c r="H72" s="7" t="n">
        <v>14050206</v>
      </c>
      <c r="I72" s="7" t="n">
        <v>0</v>
      </c>
      <c r="J72" s="7" t="n">
        <v>1001</v>
      </c>
      <c r="K72" s="7" t="n">
        <v>14050806</v>
      </c>
      <c r="L72" s="13" t="n">
        <v>1160000000</v>
      </c>
      <c r="M72" s="8" t="inlineStr">
        <is>
          <t>3478040153416465</t>
        </is>
      </c>
      <c r="N72" s="7" t="n">
        <v>0</v>
      </c>
      <c r="O72" s="8" t="inlineStr">
        <is>
          <t xml:space="preserve"> * سپه سيدي مشهد</t>
        </is>
      </c>
      <c r="P72" s="7" t="n">
        <v>1110</v>
      </c>
      <c r="Q72" s="7" t="n">
        <v>605</v>
      </c>
      <c r="R72" s="8" t="inlineStr">
        <is>
          <t>اقاي ضيافتي</t>
        </is>
      </c>
      <c r="S72" s="7" t="n">
        <v>14050206</v>
      </c>
      <c r="T72" s="7" t="b">
        <v>0</v>
      </c>
      <c r="U72" s="8" t="inlineStr">
        <is>
          <t>جمع 483,325,000,000</t>
        </is>
      </c>
      <c r="V72" s="7" t="n"/>
      <c r="W72" s="7" t="inlineStr">
        <is>
          <t>دريافتي</t>
        </is>
      </c>
      <c r="X72" s="7" t="n">
        <v>0</v>
      </c>
    </row>
    <row r="73">
      <c r="A73" s="11" t="n">
        <v>1105</v>
      </c>
      <c r="B73" s="49" t="inlineStr">
        <is>
          <t>00769517</t>
        </is>
      </c>
      <c r="C73" s="11" t="inlineStr">
        <is>
          <t>c</t>
        </is>
      </c>
      <c r="D73" s="11" t="n">
        <v>15</v>
      </c>
      <c r="E73" s="11" t="n">
        <v>3205</v>
      </c>
      <c r="F73" s="11" t="n">
        <v>153665</v>
      </c>
      <c r="G73" s="11" t="n">
        <v>1405059</v>
      </c>
      <c r="H73" s="11" t="n">
        <v>14050228</v>
      </c>
      <c r="I73" s="11" t="n">
        <v>0</v>
      </c>
      <c r="J73" s="11" t="n">
        <v>1001</v>
      </c>
      <c r="K73" s="11" t="n">
        <v>14050807</v>
      </c>
      <c r="L73" s="14" t="n">
        <v>1350000000</v>
      </c>
      <c r="M73" s="12" t="inlineStr">
        <is>
          <t>9154040120076061</t>
        </is>
      </c>
      <c r="N73" s="11" t="n">
        <v>0</v>
      </c>
      <c r="O73" s="12" t="inlineStr">
        <is>
          <t xml:space="preserve"> * ملت عطا ملک سبزوار</t>
        </is>
      </c>
      <c r="P73" s="11" t="n">
        <v>1110</v>
      </c>
      <c r="Q73" s="11" t="n">
        <v>605</v>
      </c>
      <c r="R73" s="12" t="inlineStr">
        <is>
          <t>اقاي ضيافتي</t>
        </is>
      </c>
      <c r="S73" s="11" t="n">
        <v>14050228</v>
      </c>
      <c r="T73" s="11" t="b">
        <v>0</v>
      </c>
      <c r="U73" s="12" t="inlineStr">
        <is>
          <t>جمع 483,325,000,000</t>
        </is>
      </c>
      <c r="V73" s="11" t="n"/>
      <c r="W73" s="11" t="inlineStr">
        <is>
          <t>دريافتي</t>
        </is>
      </c>
      <c r="X73" s="11" t="n">
        <v>0</v>
      </c>
    </row>
    <row r="74">
      <c r="A74" s="7" t="n">
        <v>1105</v>
      </c>
      <c r="B74" s="52" t="inlineStr">
        <is>
          <t>623498</t>
        </is>
      </c>
      <c r="C74" s="7" t="inlineStr">
        <is>
          <t>c</t>
        </is>
      </c>
      <c r="D74" s="7" t="n">
        <v>9</v>
      </c>
      <c r="E74" s="7" t="n">
        <v>2783</v>
      </c>
      <c r="F74" s="7" t="n">
        <v>139439</v>
      </c>
      <c r="G74" s="7" t="n">
        <v>1404230</v>
      </c>
      <c r="H74" s="7" t="n">
        <v>14040814</v>
      </c>
      <c r="I74" s="7" t="n">
        <v>0</v>
      </c>
      <c r="J74" s="7" t="n">
        <v>1001</v>
      </c>
      <c r="K74" s="7" t="n">
        <v>14050810</v>
      </c>
      <c r="L74" s="13" t="n">
        <v>1000000000</v>
      </c>
      <c r="M74" s="8" t="inlineStr">
        <is>
          <t>8691020116968671</t>
        </is>
      </c>
      <c r="N74" s="7" t="n">
        <v>0</v>
      </c>
      <c r="O74" s="8" t="inlineStr">
        <is>
          <t xml:space="preserve"> * صادرات مهرآباد 1904281</t>
        </is>
      </c>
      <c r="P74" s="7" t="n">
        <v>1110</v>
      </c>
      <c r="Q74" s="7" t="n">
        <v>605</v>
      </c>
      <c r="R74" s="8" t="inlineStr">
        <is>
          <t>اقاي ضيافتي</t>
        </is>
      </c>
      <c r="S74" s="7" t="n">
        <v>14040814</v>
      </c>
      <c r="T74" s="7" t="b">
        <v>0</v>
      </c>
      <c r="U74" s="8" t="inlineStr">
        <is>
          <t>جمع 483,325,000,000</t>
        </is>
      </c>
      <c r="V74" s="7" t="n"/>
      <c r="W74" s="7" t="inlineStr">
        <is>
          <t>دريافتي</t>
        </is>
      </c>
      <c r="X74" s="7" t="n">
        <v>0</v>
      </c>
    </row>
    <row r="75">
      <c r="A75" s="11" t="n">
        <v>1105</v>
      </c>
      <c r="B75" s="49" t="inlineStr">
        <is>
          <t>804986</t>
        </is>
      </c>
      <c r="C75" s="11" t="inlineStr">
        <is>
          <t>c</t>
        </is>
      </c>
      <c r="D75" s="11" t="n">
        <v>14</v>
      </c>
      <c r="E75" s="11" t="n">
        <v>2995</v>
      </c>
      <c r="F75" s="11" t="n">
        <v>145981</v>
      </c>
      <c r="G75" s="11" t="n">
        <v>1404312</v>
      </c>
      <c r="H75" s="11" t="n">
        <v>14041106</v>
      </c>
      <c r="I75" s="11" t="n">
        <v>0</v>
      </c>
      <c r="J75" s="11" t="n">
        <v>1001</v>
      </c>
      <c r="K75" s="11" t="n">
        <v>14050810</v>
      </c>
      <c r="L75" s="14" t="n">
        <v>1380000000</v>
      </c>
      <c r="M75" s="12" t="inlineStr">
        <is>
          <t>5755030071639290</t>
        </is>
      </c>
      <c r="N75" s="11" t="n">
        <v>0</v>
      </c>
      <c r="O75" s="12" t="inlineStr">
        <is>
          <t xml:space="preserve"> * سپه امام رضا فريمان</t>
        </is>
      </c>
      <c r="P75" s="11" t="n">
        <v>1110</v>
      </c>
      <c r="Q75" s="11" t="n">
        <v>605</v>
      </c>
      <c r="R75" s="12" t="inlineStr">
        <is>
          <t>اقاي ضيافتي</t>
        </is>
      </c>
      <c r="S75" s="11" t="n">
        <v>14041106</v>
      </c>
      <c r="T75" s="11" t="b">
        <v>0</v>
      </c>
      <c r="U75" s="12" t="inlineStr">
        <is>
          <t>جمع 483,325,000,000</t>
        </is>
      </c>
      <c r="V75" s="11" t="n"/>
      <c r="W75" s="11" t="inlineStr">
        <is>
          <t>دريافتي</t>
        </is>
      </c>
      <c r="X75" s="11" t="n">
        <v>0</v>
      </c>
    </row>
    <row r="76">
      <c r="A76" s="7" t="n">
        <v>1105</v>
      </c>
      <c r="B76" s="52" t="inlineStr">
        <is>
          <t>795571</t>
        </is>
      </c>
      <c r="C76" s="7" t="inlineStr">
        <is>
          <t>c</t>
        </is>
      </c>
      <c r="D76" s="7" t="n">
        <v>6</v>
      </c>
      <c r="E76" s="7" t="n">
        <v>2746</v>
      </c>
      <c r="F76" s="7" t="n">
        <v>138447</v>
      </c>
      <c r="G76" s="7" t="n">
        <v>1404221</v>
      </c>
      <c r="H76" s="7" t="n">
        <v>14040805</v>
      </c>
      <c r="I76" s="7" t="n">
        <v>0</v>
      </c>
      <c r="J76" s="7" t="n">
        <v>1001</v>
      </c>
      <c r="K76" s="7" t="n">
        <v>14050815</v>
      </c>
      <c r="L76" s="13" t="n">
        <v>570000000</v>
      </c>
      <c r="M76" s="8" t="inlineStr">
        <is>
          <t>1509040118622468</t>
        </is>
      </c>
      <c r="N76" s="7" t="n">
        <v>0</v>
      </c>
      <c r="O76" s="8" t="inlineStr">
        <is>
          <t xml:space="preserve"> * رفاه بيمارستان امام رضا کد 1301111</t>
        </is>
      </c>
      <c r="P76" s="7" t="n">
        <v>1110</v>
      </c>
      <c r="Q76" s="7" t="n">
        <v>605</v>
      </c>
      <c r="R76" s="8" t="inlineStr">
        <is>
          <t>اقاي ضيافتي</t>
        </is>
      </c>
      <c r="S76" s="7" t="n">
        <v>14040805</v>
      </c>
      <c r="T76" s="7" t="b">
        <v>0</v>
      </c>
      <c r="U76" s="8" t="inlineStr">
        <is>
          <t>جمع 483,325,000,000</t>
        </is>
      </c>
      <c r="V76" s="7" t="n"/>
      <c r="W76" s="7" t="inlineStr">
        <is>
          <t>دريافتي</t>
        </is>
      </c>
      <c r="X76" s="7" t="n">
        <v>0</v>
      </c>
    </row>
    <row r="77">
      <c r="A77" s="11" t="n">
        <v>1105</v>
      </c>
      <c r="B77" s="49" t="inlineStr">
        <is>
          <t>327261</t>
        </is>
      </c>
      <c r="C77" s="11" t="inlineStr">
        <is>
          <t>c</t>
        </is>
      </c>
      <c r="D77" s="11" t="n">
        <v>9</v>
      </c>
      <c r="E77" s="11" t="n">
        <v>3294</v>
      </c>
      <c r="F77" s="11" t="n">
        <v>157295</v>
      </c>
      <c r="G77" s="11" t="n">
        <v>1405113</v>
      </c>
      <c r="H77" s="11" t="n">
        <v>14050420</v>
      </c>
      <c r="I77" s="11" t="n">
        <v>0</v>
      </c>
      <c r="J77" s="11" t="n">
        <v>1001</v>
      </c>
      <c r="K77" s="11" t="n">
        <v>14050815</v>
      </c>
      <c r="L77" s="14" t="n">
        <v>300000000</v>
      </c>
      <c r="M77" s="12" t="inlineStr">
        <is>
          <t>6751040194061446</t>
        </is>
      </c>
      <c r="N77" s="11" t="n">
        <v>0</v>
      </c>
      <c r="O77" s="12" t="inlineStr">
        <is>
          <t xml:space="preserve"> * صادرات معلم</t>
        </is>
      </c>
      <c r="P77" s="11" t="n">
        <v>1110</v>
      </c>
      <c r="Q77" s="11" t="n">
        <v>9</v>
      </c>
      <c r="R77" s="12" t="inlineStr">
        <is>
          <t>آقاي مرتضي موذن</t>
        </is>
      </c>
      <c r="S77" s="11" t="n">
        <v>14050420</v>
      </c>
      <c r="T77" s="11" t="b">
        <v>0</v>
      </c>
      <c r="U77" s="12" t="inlineStr">
        <is>
          <t>جمع 483,325,000,000</t>
        </is>
      </c>
      <c r="V77" s="11" t="n"/>
      <c r="W77" s="11" t="inlineStr">
        <is>
          <t>دريافتي</t>
        </is>
      </c>
      <c r="X77" s="11" t="n">
        <v>0</v>
      </c>
    </row>
    <row r="78">
      <c r="A78" s="7" t="n">
        <v>1105</v>
      </c>
      <c r="B78" s="52" t="inlineStr">
        <is>
          <t>266952</t>
        </is>
      </c>
      <c r="C78" s="7" t="inlineStr">
        <is>
          <t>c</t>
        </is>
      </c>
      <c r="D78" s="7" t="n">
        <v>12</v>
      </c>
      <c r="E78" s="7" t="n">
        <v>3358</v>
      </c>
      <c r="F78" s="7" t="n">
        <v>159835</v>
      </c>
      <c r="G78" s="7" t="n">
        <v>1405149</v>
      </c>
      <c r="H78" s="7" t="n">
        <v>14050525</v>
      </c>
      <c r="I78" s="7" t="n">
        <v>0</v>
      </c>
      <c r="J78" s="7" t="n">
        <v>1001</v>
      </c>
      <c r="K78" s="7" t="n">
        <v>14050816</v>
      </c>
      <c r="L78" s="13" t="n">
        <v>487500000</v>
      </c>
      <c r="M78" s="8" t="inlineStr">
        <is>
          <t>3750050070509552</t>
        </is>
      </c>
      <c r="N78" s="7" t="n">
        <v>0</v>
      </c>
      <c r="O78" s="8" t="inlineStr">
        <is>
          <t xml:space="preserve"> * کشاورزي خضري</t>
        </is>
      </c>
      <c r="P78" s="7" t="n">
        <v>1110</v>
      </c>
      <c r="Q78" s="7" t="n">
        <v>731</v>
      </c>
      <c r="R78" s="8" t="inlineStr">
        <is>
          <t>اشرافيان و دشت بياض</t>
        </is>
      </c>
      <c r="S78" s="7" t="n">
        <v>14050525</v>
      </c>
      <c r="T78" s="7" t="b">
        <v>0</v>
      </c>
      <c r="U78" s="8" t="inlineStr">
        <is>
          <t>جمع 483,325,000,000</t>
        </is>
      </c>
      <c r="V78" s="7" t="n"/>
      <c r="W78" s="7" t="inlineStr">
        <is>
          <t>دريافتي</t>
        </is>
      </c>
      <c r="X78" s="7" t="n">
        <v>0</v>
      </c>
    </row>
    <row r="79">
      <c r="A79" s="11" t="n">
        <v>1105</v>
      </c>
      <c r="B79" s="49" t="inlineStr">
        <is>
          <t>195316</t>
        </is>
      </c>
      <c r="C79" s="11" t="inlineStr">
        <is>
          <t>c</t>
        </is>
      </c>
      <c r="D79" s="11" t="n">
        <v>9</v>
      </c>
      <c r="E79" s="11" t="n">
        <v>3330</v>
      </c>
      <c r="F79" s="11" t="n">
        <v>158635</v>
      </c>
      <c r="G79" s="11" t="n">
        <v>1405130</v>
      </c>
      <c r="H79" s="11" t="n">
        <v>14050506</v>
      </c>
      <c r="I79" s="11" t="n">
        <v>0</v>
      </c>
      <c r="J79" s="11" t="n">
        <v>1001</v>
      </c>
      <c r="K79" s="11" t="n">
        <v>14050820</v>
      </c>
      <c r="L79" s="14" t="n">
        <v>12450000000</v>
      </c>
      <c r="M79" s="12" t="inlineStr">
        <is>
          <t>1684050035946781</t>
        </is>
      </c>
      <c r="N79" s="11" t="n">
        <v>0</v>
      </c>
      <c r="O79" s="12" t="inlineStr">
        <is>
          <t xml:space="preserve"> * صادرات شهرک لشگر</t>
        </is>
      </c>
      <c r="P79" s="11" t="n">
        <v>1110</v>
      </c>
      <c r="Q79" s="11" t="n">
        <v>605</v>
      </c>
      <c r="R79" s="12" t="inlineStr">
        <is>
          <t>اقاي ضيافتي</t>
        </is>
      </c>
      <c r="S79" s="11" t="n">
        <v>14050506</v>
      </c>
      <c r="T79" s="11" t="b">
        <v>0</v>
      </c>
      <c r="U79" s="12" t="inlineStr">
        <is>
          <t>جمع 483,325,000,000</t>
        </is>
      </c>
      <c r="V79" s="11" t="n"/>
      <c r="W79" s="11" t="inlineStr">
        <is>
          <t>دريافتي</t>
        </is>
      </c>
      <c r="X79" s="11" t="n">
        <v>0</v>
      </c>
    </row>
    <row r="80">
      <c r="A80" s="7" t="n">
        <v>1105</v>
      </c>
      <c r="B80" s="52" t="inlineStr">
        <is>
          <t>300936</t>
        </is>
      </c>
      <c r="C80" s="7" t="inlineStr">
        <is>
          <t>c</t>
        </is>
      </c>
      <c r="D80" s="7" t="n">
        <v>3</v>
      </c>
      <c r="E80" s="7" t="n">
        <v>3173</v>
      </c>
      <c r="F80" s="7" t="n">
        <v>152861</v>
      </c>
      <c r="G80" s="7" t="n">
        <v>1405050</v>
      </c>
      <c r="H80" s="7" t="n">
        <v>14050219</v>
      </c>
      <c r="I80" s="7" t="n">
        <v>0</v>
      </c>
      <c r="J80" s="7" t="n">
        <v>1001</v>
      </c>
      <c r="K80" s="7" t="n">
        <v>14050825</v>
      </c>
      <c r="L80" s="13" t="n">
        <v>15200000000</v>
      </c>
      <c r="M80" s="8" t="inlineStr">
        <is>
          <t>7870040191134434</t>
        </is>
      </c>
      <c r="N80" s="7" t="n">
        <v>0</v>
      </c>
      <c r="O80" s="8" t="inlineStr">
        <is>
          <t xml:space="preserve"> * بانک ملي بيمارستان قايم</t>
        </is>
      </c>
      <c r="P80" s="7" t="n">
        <v>1110</v>
      </c>
      <c r="Q80" s="7" t="n">
        <v>605</v>
      </c>
      <c r="R80" s="8" t="inlineStr">
        <is>
          <t>اقاي ضيافتي</t>
        </is>
      </c>
      <c r="S80" s="7" t="n">
        <v>14050219</v>
      </c>
      <c r="T80" s="7" t="b">
        <v>0</v>
      </c>
      <c r="U80" s="8" t="inlineStr">
        <is>
          <t>جمع 483,325,000,000</t>
        </is>
      </c>
      <c r="V80" s="7" t="n"/>
      <c r="W80" s="7" t="inlineStr">
        <is>
          <t>دريافتي</t>
        </is>
      </c>
      <c r="X80" s="7" t="n">
        <v>0</v>
      </c>
    </row>
    <row r="81">
      <c r="A81" s="11" t="n">
        <v>1105</v>
      </c>
      <c r="B81" s="49" t="inlineStr">
        <is>
          <t>218800</t>
        </is>
      </c>
      <c r="C81" s="11" t="inlineStr">
        <is>
          <t>c</t>
        </is>
      </c>
      <c r="D81" s="11" t="n">
        <v>12</v>
      </c>
      <c r="E81" s="11" t="n">
        <v>3224</v>
      </c>
      <c r="F81" s="11" t="n">
        <v>154291</v>
      </c>
      <c r="G81" s="11" t="n">
        <v>1405067</v>
      </c>
      <c r="H81" s="11" t="n">
        <v>14050305</v>
      </c>
      <c r="I81" s="11" t="n">
        <v>0</v>
      </c>
      <c r="J81" s="11" t="n">
        <v>1001</v>
      </c>
      <c r="K81" s="11" t="n">
        <v>14050825</v>
      </c>
      <c r="L81" s="14" t="n">
        <v>7000000000</v>
      </c>
      <c r="M81" s="12" t="inlineStr">
        <is>
          <t>6170040155889947</t>
        </is>
      </c>
      <c r="N81" s="11" t="n">
        <v>0</v>
      </c>
      <c r="O81" s="12" t="inlineStr">
        <is>
          <t xml:space="preserve"> * کشاورزي ترمينال مشهد</t>
        </is>
      </c>
      <c r="P81" s="11" t="n">
        <v>1110</v>
      </c>
      <c r="Q81" s="11" t="n">
        <v>605</v>
      </c>
      <c r="R81" s="12" t="inlineStr">
        <is>
          <t>اقاي ضيافتي</t>
        </is>
      </c>
      <c r="S81" s="11" t="n">
        <v>14050305</v>
      </c>
      <c r="T81" s="11" t="b">
        <v>0</v>
      </c>
      <c r="U81" s="12" t="inlineStr">
        <is>
          <t>جمع 483,325,000,000</t>
        </is>
      </c>
      <c r="V81" s="11" t="n"/>
      <c r="W81" s="11" t="inlineStr">
        <is>
          <t>دريافتي</t>
        </is>
      </c>
      <c r="X81" s="11" t="n">
        <v>0</v>
      </c>
    </row>
    <row r="82">
      <c r="A82" s="7" t="n">
        <v>1105</v>
      </c>
      <c r="B82" s="52" t="inlineStr">
        <is>
          <t>840431</t>
        </is>
      </c>
      <c r="C82" s="7" t="inlineStr">
        <is>
          <t>c</t>
        </is>
      </c>
      <c r="D82" s="7" t="n">
        <v>9</v>
      </c>
      <c r="E82" s="7" t="n">
        <v>3245</v>
      </c>
      <c r="F82" s="7" t="n">
        <v>155029</v>
      </c>
      <c r="G82" s="7" t="n">
        <v>1405079</v>
      </c>
      <c r="H82" s="7" t="n">
        <v>14050317</v>
      </c>
      <c r="I82" s="7" t="n">
        <v>0</v>
      </c>
      <c r="J82" s="7" t="n">
        <v>1001</v>
      </c>
      <c r="K82" s="7" t="n">
        <v>14050825</v>
      </c>
      <c r="L82" s="13" t="n">
        <v>1700000000</v>
      </c>
      <c r="M82" s="8" t="inlineStr">
        <is>
          <t>5400050020050462</t>
        </is>
      </c>
      <c r="N82" s="7" t="n">
        <v>0</v>
      </c>
      <c r="O82" s="8" t="inlineStr">
        <is>
          <t xml:space="preserve"> * صادرات کوي امام هادي</t>
        </is>
      </c>
      <c r="P82" s="7" t="n">
        <v>1110</v>
      </c>
      <c r="Q82" s="7" t="n">
        <v>605</v>
      </c>
      <c r="R82" s="8" t="inlineStr">
        <is>
          <t>اقاي ضيافتي</t>
        </is>
      </c>
      <c r="S82" s="7" t="n">
        <v>14050317</v>
      </c>
      <c r="T82" s="7" t="b">
        <v>0</v>
      </c>
      <c r="U82" s="8" t="inlineStr">
        <is>
          <t>جمع 483,325,000,000</t>
        </is>
      </c>
      <c r="V82" s="7" t="n"/>
      <c r="W82" s="7" t="inlineStr">
        <is>
          <t>دريافتي</t>
        </is>
      </c>
      <c r="X82" s="7" t="n">
        <v>0</v>
      </c>
    </row>
    <row r="83">
      <c r="A83" s="11" t="n">
        <v>1105</v>
      </c>
      <c r="B83" s="49" t="inlineStr">
        <is>
          <t>849739</t>
        </is>
      </c>
      <c r="C83" s="11" t="inlineStr">
        <is>
          <t>c</t>
        </is>
      </c>
      <c r="D83" s="11" t="n">
        <v>25</v>
      </c>
      <c r="E83" s="11" t="n">
        <v>3259</v>
      </c>
      <c r="F83" s="11" t="n">
        <v>155205</v>
      </c>
      <c r="G83" s="11" t="n">
        <v>1405081</v>
      </c>
      <c r="H83" s="11" t="n">
        <v>14050319</v>
      </c>
      <c r="I83" s="11" t="n">
        <v>0</v>
      </c>
      <c r="J83" s="11" t="n">
        <v>1001</v>
      </c>
      <c r="K83" s="11" t="n">
        <v>14050825</v>
      </c>
      <c r="L83" s="14" t="n">
        <v>2190000000</v>
      </c>
      <c r="M83" s="12" t="inlineStr">
        <is>
          <t>2757040201829543</t>
        </is>
      </c>
      <c r="N83" s="11" t="n">
        <v>0</v>
      </c>
      <c r="O83" s="12" t="inlineStr">
        <is>
          <t xml:space="preserve"> * مسکن وکيل اباد</t>
        </is>
      </c>
      <c r="P83" s="11" t="n">
        <v>1110</v>
      </c>
      <c r="Q83" s="11" t="n">
        <v>605</v>
      </c>
      <c r="R83" s="12" t="inlineStr">
        <is>
          <t>اقاي ضيافتي</t>
        </is>
      </c>
      <c r="S83" s="11" t="n">
        <v>14050319</v>
      </c>
      <c r="T83" s="11" t="b">
        <v>0</v>
      </c>
      <c r="U83" s="12" t="inlineStr">
        <is>
          <t>جمع 483,325,000,000</t>
        </is>
      </c>
      <c r="V83" s="11" t="n"/>
      <c r="W83" s="11" t="inlineStr">
        <is>
          <t>دريافتي</t>
        </is>
      </c>
      <c r="X83" s="11" t="n">
        <v>0</v>
      </c>
    </row>
    <row r="84">
      <c r="A84" s="7" t="n">
        <v>1105</v>
      </c>
      <c r="B84" s="52" t="inlineStr">
        <is>
          <t>855067</t>
        </is>
      </c>
      <c r="C84" s="7" t="inlineStr">
        <is>
          <t>c</t>
        </is>
      </c>
      <c r="D84" s="7" t="n">
        <v>15</v>
      </c>
      <c r="E84" s="7" t="n">
        <v>3290</v>
      </c>
      <c r="F84" s="7" t="n">
        <v>156901</v>
      </c>
      <c r="G84" s="7" t="n">
        <v>1405106</v>
      </c>
      <c r="H84" s="7" t="n">
        <v>14050413</v>
      </c>
      <c r="I84" s="7" t="n">
        <v>0</v>
      </c>
      <c r="J84" s="7" t="n">
        <v>1001</v>
      </c>
      <c r="K84" s="7" t="n">
        <v>14050825</v>
      </c>
      <c r="L84" s="13" t="n">
        <v>5500000000</v>
      </c>
      <c r="M84" s="8" t="inlineStr">
        <is>
          <t>885050004531113</t>
        </is>
      </c>
      <c r="N84" s="7" t="n">
        <v>0</v>
      </c>
      <c r="O84" s="8" t="inlineStr">
        <is>
          <t xml:space="preserve"> * ملت شيرازي</t>
        </is>
      </c>
      <c r="P84" s="7" t="n">
        <v>1110</v>
      </c>
      <c r="Q84" s="7" t="n">
        <v>605</v>
      </c>
      <c r="R84" s="8" t="inlineStr">
        <is>
          <t>اقاي ضيافتي</t>
        </is>
      </c>
      <c r="S84" s="7" t="n">
        <v>14050413</v>
      </c>
      <c r="T84" s="7" t="b">
        <v>0</v>
      </c>
      <c r="U84" s="8" t="inlineStr">
        <is>
          <t>جمع 483,325,000,000</t>
        </is>
      </c>
      <c r="V84" s="7" t="n"/>
      <c r="W84" s="7" t="inlineStr">
        <is>
          <t>دريافتي</t>
        </is>
      </c>
      <c r="X84" s="7" t="n">
        <v>0</v>
      </c>
    </row>
    <row r="85">
      <c r="A85" s="11" t="n">
        <v>1105</v>
      </c>
      <c r="B85" s="49" t="inlineStr">
        <is>
          <t>327262</t>
        </is>
      </c>
      <c r="C85" s="11" t="inlineStr">
        <is>
          <t>c</t>
        </is>
      </c>
      <c r="D85" s="11" t="n">
        <v>9</v>
      </c>
      <c r="E85" s="11" t="n">
        <v>3295</v>
      </c>
      <c r="F85" s="11" t="n">
        <v>157297</v>
      </c>
      <c r="G85" s="11" t="n">
        <v>1405113</v>
      </c>
      <c r="H85" s="11" t="n">
        <v>14050420</v>
      </c>
      <c r="I85" s="11" t="n">
        <v>0</v>
      </c>
      <c r="J85" s="11" t="n">
        <v>1001</v>
      </c>
      <c r="K85" s="11" t="n">
        <v>14050825</v>
      </c>
      <c r="L85" s="14" t="n">
        <v>380000000</v>
      </c>
      <c r="M85" s="12" t="inlineStr">
        <is>
          <t>8144040194061447</t>
        </is>
      </c>
      <c r="N85" s="11" t="n">
        <v>0</v>
      </c>
      <c r="O85" s="12" t="inlineStr">
        <is>
          <t xml:space="preserve"> * صادرات معلم</t>
        </is>
      </c>
      <c r="P85" s="11" t="n">
        <v>1110</v>
      </c>
      <c r="Q85" s="11" t="n">
        <v>9</v>
      </c>
      <c r="R85" s="12" t="inlineStr">
        <is>
          <t>آقاي مرتضي موذن</t>
        </is>
      </c>
      <c r="S85" s="11" t="n">
        <v>14050420</v>
      </c>
      <c r="T85" s="11" t="b">
        <v>0</v>
      </c>
      <c r="U85" s="12" t="inlineStr">
        <is>
          <t>جمع 483,325,000,000</t>
        </is>
      </c>
      <c r="V85" s="11" t="n"/>
      <c r="W85" s="11" t="inlineStr">
        <is>
          <t>دريافتي</t>
        </is>
      </c>
      <c r="X85" s="11" t="n">
        <v>0</v>
      </c>
    </row>
    <row r="86">
      <c r="A86" s="7" t="n">
        <v>1105</v>
      </c>
      <c r="B86" s="52" t="inlineStr">
        <is>
          <t>685158</t>
        </is>
      </c>
      <c r="C86" s="7" t="inlineStr">
        <is>
          <t>c</t>
        </is>
      </c>
      <c r="D86" s="7" t="n">
        <v>6</v>
      </c>
      <c r="E86" s="7" t="n">
        <v>3099</v>
      </c>
      <c r="F86" s="7" t="n">
        <v>150901</v>
      </c>
      <c r="G86" s="7" t="n">
        <v>1405024</v>
      </c>
      <c r="H86" s="7" t="n">
        <v>14050124</v>
      </c>
      <c r="I86" s="7" t="n">
        <v>0</v>
      </c>
      <c r="J86" s="7" t="n">
        <v>1001</v>
      </c>
      <c r="K86" s="7" t="n">
        <v>14050830</v>
      </c>
      <c r="L86" s="13" t="n">
        <v>360000000</v>
      </c>
      <c r="M86" s="8" t="inlineStr">
        <is>
          <t>9377040091817634</t>
        </is>
      </c>
      <c r="N86" s="7" t="n">
        <v>0</v>
      </c>
      <c r="O86" s="8" t="inlineStr">
        <is>
          <t xml:space="preserve"> * رفاه مفتح</t>
        </is>
      </c>
      <c r="P86" s="7" t="n">
        <v>1110</v>
      </c>
      <c r="Q86" s="7" t="n">
        <v>769</v>
      </c>
      <c r="R86" s="8" t="inlineStr">
        <is>
          <t>اقاي حسين زاده خريدار کوييک 1402ار</t>
        </is>
      </c>
      <c r="S86" s="7" t="n">
        <v>14050124</v>
      </c>
      <c r="T86" s="7" t="b">
        <v>0</v>
      </c>
      <c r="U86" s="8" t="inlineStr">
        <is>
          <t>جمع 483,325,000,000</t>
        </is>
      </c>
      <c r="V86" s="7" t="n"/>
      <c r="W86" s="7" t="inlineStr">
        <is>
          <t>دريافتي</t>
        </is>
      </c>
      <c r="X86" s="7" t="n">
        <v>0</v>
      </c>
    </row>
    <row r="87">
      <c r="A87" s="11" t="n">
        <v>1105</v>
      </c>
      <c r="B87" s="49" t="inlineStr">
        <is>
          <t>970086</t>
        </is>
      </c>
      <c r="C87" s="11" t="inlineStr">
        <is>
          <t>c</t>
        </is>
      </c>
      <c r="D87" s="11" t="n">
        <v>3</v>
      </c>
      <c r="E87" s="11" t="n">
        <v>2147</v>
      </c>
      <c r="F87" s="11" t="n">
        <v>111649</v>
      </c>
      <c r="G87" s="11" t="n">
        <v>1403281</v>
      </c>
      <c r="H87" s="11" t="n">
        <v>14031005</v>
      </c>
      <c r="I87" s="11" t="n">
        <v>0</v>
      </c>
      <c r="J87" s="11" t="n">
        <v>1001</v>
      </c>
      <c r="K87" s="11" t="n">
        <v>14050901</v>
      </c>
      <c r="L87" s="14" t="n">
        <v>5660000000</v>
      </c>
      <c r="M87" s="12" t="inlineStr">
        <is>
          <t>2718030099110172</t>
        </is>
      </c>
      <c r="N87" s="11" t="n">
        <v>0</v>
      </c>
      <c r="O87" s="12" t="inlineStr">
        <is>
          <t xml:space="preserve"> * بانک ملي کوي المهدي </t>
        </is>
      </c>
      <c r="P87" s="11" t="n">
        <v>1110</v>
      </c>
      <c r="Q87" s="11" t="n">
        <v>689</v>
      </c>
      <c r="R87" s="12" t="inlineStr">
        <is>
          <t>ملک هاشميه</t>
        </is>
      </c>
      <c r="S87" s="11" t="n">
        <v>14031005</v>
      </c>
      <c r="T87" s="11" t="b">
        <v>0</v>
      </c>
      <c r="U87" s="12" t="inlineStr">
        <is>
          <t>جمع 483,325,000,000</t>
        </is>
      </c>
      <c r="V87" s="11" t="n">
        <v>0</v>
      </c>
      <c r="W87" s="11" t="inlineStr">
        <is>
          <t>دريافتي</t>
        </is>
      </c>
      <c r="X87" s="11" t="n">
        <v>0</v>
      </c>
    </row>
    <row r="88">
      <c r="A88" s="7" t="n">
        <v>1105</v>
      </c>
      <c r="B88" s="52" t="inlineStr">
        <is>
          <t>33878454</t>
        </is>
      </c>
      <c r="C88" s="7" t="inlineStr">
        <is>
          <t>c</t>
        </is>
      </c>
      <c r="D88" s="7" t="n">
        <v>15</v>
      </c>
      <c r="E88" s="7" t="n">
        <v>3144</v>
      </c>
      <c r="F88" s="7" t="n">
        <v>151811</v>
      </c>
      <c r="G88" s="7" t="n">
        <v>1405036</v>
      </c>
      <c r="H88" s="7" t="n">
        <v>14050205</v>
      </c>
      <c r="I88" s="7" t="n">
        <v>0</v>
      </c>
      <c r="J88" s="7" t="n">
        <v>1001</v>
      </c>
      <c r="K88" s="7" t="n">
        <v>14050901</v>
      </c>
      <c r="L88" s="13" t="n">
        <v>2620000000</v>
      </c>
      <c r="M88" s="8" t="inlineStr">
        <is>
          <t>2644040184813905</t>
        </is>
      </c>
      <c r="N88" s="7" t="n">
        <v>0</v>
      </c>
      <c r="O88" s="8" t="inlineStr">
        <is>
          <t xml:space="preserve"> * ملت دانش اموز</t>
        </is>
      </c>
      <c r="P88" s="7" t="n">
        <v>1110</v>
      </c>
      <c r="Q88" s="7" t="n">
        <v>605</v>
      </c>
      <c r="R88" s="8" t="inlineStr">
        <is>
          <t>اقاي ضيافتي</t>
        </is>
      </c>
      <c r="S88" s="7" t="n">
        <v>14050205</v>
      </c>
      <c r="T88" s="7" t="b">
        <v>0</v>
      </c>
      <c r="U88" s="8" t="inlineStr">
        <is>
          <t>جمع 483,325,000,000</t>
        </is>
      </c>
      <c r="V88" s="7" t="n"/>
      <c r="W88" s="7" t="inlineStr">
        <is>
          <t>دريافتي</t>
        </is>
      </c>
      <c r="X88" s="7" t="n">
        <v>0</v>
      </c>
    </row>
    <row r="89">
      <c r="A89" s="11" t="n">
        <v>1105</v>
      </c>
      <c r="B89" s="49" t="inlineStr">
        <is>
          <t>135601</t>
        </is>
      </c>
      <c r="C89" s="11" t="inlineStr">
        <is>
          <t>c</t>
        </is>
      </c>
      <c r="D89" s="11" t="n">
        <v>21</v>
      </c>
      <c r="E89" s="11" t="n">
        <v>3346</v>
      </c>
      <c r="F89" s="11" t="n">
        <v>159003</v>
      </c>
      <c r="G89" s="11" t="n">
        <v>1405135</v>
      </c>
      <c r="H89" s="11" t="n">
        <v>14050511</v>
      </c>
      <c r="I89" s="11" t="n">
        <v>0</v>
      </c>
      <c r="J89" s="11" t="n">
        <v>1001</v>
      </c>
      <c r="K89" s="11" t="n">
        <v>14050901</v>
      </c>
      <c r="L89" s="14" t="n">
        <v>1000000000</v>
      </c>
      <c r="M89" s="12" t="inlineStr">
        <is>
          <t>5524050019357731</t>
        </is>
      </c>
      <c r="N89" s="11" t="n">
        <v>0</v>
      </c>
      <c r="O89" s="12" t="inlineStr">
        <is>
          <t xml:space="preserve"> * قرض الحسنه رسالت بانکداري اجتماعي</t>
        </is>
      </c>
      <c r="P89" s="11" t="n">
        <v>1110</v>
      </c>
      <c r="Q89" s="11" t="n">
        <v>596</v>
      </c>
      <c r="R89" s="12" t="inlineStr">
        <is>
          <t>مرتضي پيروزيان</t>
        </is>
      </c>
      <c r="S89" s="11" t="n">
        <v>14050511</v>
      </c>
      <c r="T89" s="11" t="b">
        <v>0</v>
      </c>
      <c r="U89" s="12" t="inlineStr">
        <is>
          <t>جمع 483,325,000,000</t>
        </is>
      </c>
      <c r="V89" s="11" t="n"/>
      <c r="W89" s="11" t="inlineStr">
        <is>
          <t>دريافتي</t>
        </is>
      </c>
      <c r="X89" s="11" t="n">
        <v>0</v>
      </c>
    </row>
    <row r="90">
      <c r="A90" s="7" t="n">
        <v>1105</v>
      </c>
      <c r="B90" s="52" t="inlineStr">
        <is>
          <t>243520</t>
        </is>
      </c>
      <c r="C90" s="7" t="inlineStr">
        <is>
          <t>c</t>
        </is>
      </c>
      <c r="D90" s="7" t="n">
        <v>12</v>
      </c>
      <c r="E90" s="7" t="n">
        <v>3037</v>
      </c>
      <c r="F90" s="7" t="n">
        <v>147893</v>
      </c>
      <c r="G90" s="7" t="n">
        <v>1404338</v>
      </c>
      <c r="H90" s="7" t="n">
        <v>14041202</v>
      </c>
      <c r="I90" s="7" t="n">
        <v>0</v>
      </c>
      <c r="J90" s="7" t="n">
        <v>1001</v>
      </c>
      <c r="K90" s="7" t="n">
        <v>14050902</v>
      </c>
      <c r="L90" s="13" t="n">
        <v>870000000</v>
      </c>
      <c r="M90" s="8" t="inlineStr">
        <is>
          <t>2033040067329144</t>
        </is>
      </c>
      <c r="N90" s="7" t="n">
        <v>0</v>
      </c>
      <c r="O90" s="8" t="inlineStr">
        <is>
          <t xml:space="preserve"> * کشاورزي دکتر حسابي</t>
        </is>
      </c>
      <c r="P90" s="7" t="n">
        <v>1110</v>
      </c>
      <c r="Q90" s="7" t="n">
        <v>767</v>
      </c>
      <c r="R90" s="8" t="inlineStr">
        <is>
          <t>اقاي عليرضا يعقوبي خريدار تارا</t>
        </is>
      </c>
      <c r="S90" s="7" t="n">
        <v>14041202</v>
      </c>
      <c r="T90" s="7" t="b">
        <v>0</v>
      </c>
      <c r="U90" s="8" t="inlineStr">
        <is>
          <t>جمع 483,325,000,000</t>
        </is>
      </c>
      <c r="V90" s="7" t="n"/>
      <c r="W90" s="7" t="inlineStr">
        <is>
          <t>دريافتي</t>
        </is>
      </c>
      <c r="X90" s="7" t="n">
        <v>0</v>
      </c>
    </row>
    <row r="91">
      <c r="A91" s="11" t="n">
        <v>1105</v>
      </c>
      <c r="B91" s="49" t="inlineStr">
        <is>
          <t>810234</t>
        </is>
      </c>
      <c r="C91" s="11" t="inlineStr">
        <is>
          <t>c</t>
        </is>
      </c>
      <c r="D91" s="11" t="n">
        <v>9</v>
      </c>
      <c r="E91" s="11" t="n">
        <v>3300</v>
      </c>
      <c r="F91" s="11" t="n">
        <v>157419</v>
      </c>
      <c r="G91" s="11" t="n">
        <v>1405114</v>
      </c>
      <c r="H91" s="11" t="n">
        <v>14050421</v>
      </c>
      <c r="I91" s="11" t="n">
        <v>0</v>
      </c>
      <c r="J91" s="11" t="n">
        <v>1001</v>
      </c>
      <c r="K91" s="11" t="n">
        <v>14050902</v>
      </c>
      <c r="L91" s="14" t="n">
        <v>2000000000</v>
      </c>
      <c r="M91" s="12" t="inlineStr">
        <is>
          <t>4680030010355253</t>
        </is>
      </c>
      <c r="N91" s="11" t="n">
        <v>0</v>
      </c>
      <c r="O91" s="12" t="inlineStr">
        <is>
          <t xml:space="preserve"> * صادرات صفاشم</t>
        </is>
      </c>
      <c r="P91" s="11" t="n">
        <v>1110</v>
      </c>
      <c r="Q91" s="11" t="n">
        <v>605</v>
      </c>
      <c r="R91" s="12" t="inlineStr">
        <is>
          <t>اقاي ضيافتي</t>
        </is>
      </c>
      <c r="S91" s="11" t="n">
        <v>14050421</v>
      </c>
      <c r="T91" s="11" t="b">
        <v>0</v>
      </c>
      <c r="U91" s="12" t="inlineStr">
        <is>
          <t>جمع 483,325,000,000</t>
        </is>
      </c>
      <c r="V91" s="11" t="n"/>
      <c r="W91" s="11" t="inlineStr">
        <is>
          <t>دريافتي</t>
        </is>
      </c>
      <c r="X91" s="11" t="n">
        <v>0</v>
      </c>
    </row>
    <row r="92">
      <c r="A92" s="7" t="n">
        <v>1105</v>
      </c>
      <c r="B92" s="52" t="inlineStr">
        <is>
          <t>791198</t>
        </is>
      </c>
      <c r="C92" s="7" t="inlineStr">
        <is>
          <t>c</t>
        </is>
      </c>
      <c r="D92" s="7" t="n">
        <v>7</v>
      </c>
      <c r="E92" s="7" t="n">
        <v>3349</v>
      </c>
      <c r="F92" s="7" t="n">
        <v>159039</v>
      </c>
      <c r="G92" s="7" t="n">
        <v>1405135</v>
      </c>
      <c r="H92" s="7" t="n">
        <v>14050511</v>
      </c>
      <c r="I92" s="7" t="n">
        <v>0</v>
      </c>
      <c r="J92" s="7" t="n">
        <v>1001</v>
      </c>
      <c r="K92" s="7" t="n">
        <v>14050903</v>
      </c>
      <c r="L92" s="13" t="n">
        <v>490000000</v>
      </c>
      <c r="M92" s="8" t="inlineStr">
        <is>
          <t>1648040177207489</t>
        </is>
      </c>
      <c r="N92" s="7" t="n">
        <v>0</v>
      </c>
      <c r="O92" s="8" t="inlineStr">
        <is>
          <t xml:space="preserve"> * پاسارگاد قرني مشهد</t>
        </is>
      </c>
      <c r="P92" s="7" t="n">
        <v>1110</v>
      </c>
      <c r="Q92" s="7" t="n">
        <v>9</v>
      </c>
      <c r="R92" s="8" t="inlineStr">
        <is>
          <t>آقاي مرتضي موذن</t>
        </is>
      </c>
      <c r="S92" s="7" t="n">
        <v>14050511</v>
      </c>
      <c r="T92" s="7" t="b">
        <v>0</v>
      </c>
      <c r="U92" s="8" t="inlineStr">
        <is>
          <t>جمع 483,325,000,000</t>
        </is>
      </c>
      <c r="V92" s="7" t="n"/>
      <c r="W92" s="7" t="inlineStr">
        <is>
          <t>دريافتي</t>
        </is>
      </c>
      <c r="X92" s="7" t="n">
        <v>0</v>
      </c>
    </row>
    <row r="93">
      <c r="A93" s="11" t="n">
        <v>1105</v>
      </c>
      <c r="B93" s="49" t="inlineStr">
        <is>
          <t>189767</t>
        </is>
      </c>
      <c r="C93" s="11" t="inlineStr">
        <is>
          <t>c</t>
        </is>
      </c>
      <c r="D93" s="11" t="n">
        <v>3</v>
      </c>
      <c r="E93" s="11" t="n">
        <v>2905</v>
      </c>
      <c r="F93" s="11" t="n">
        <v>142725</v>
      </c>
      <c r="G93" s="11" t="n">
        <v>1404268</v>
      </c>
      <c r="H93" s="11" t="n">
        <v>14040922</v>
      </c>
      <c r="I93" s="11" t="n">
        <v>0</v>
      </c>
      <c r="J93" s="11" t="n">
        <v>1001</v>
      </c>
      <c r="K93" s="11" t="n">
        <v>14050905</v>
      </c>
      <c r="L93" s="14" t="n">
        <v>3100000000</v>
      </c>
      <c r="M93" s="12" t="inlineStr">
        <is>
          <t>2770040121634562</t>
        </is>
      </c>
      <c r="N93" s="11" t="n">
        <v>0</v>
      </c>
      <c r="O93" s="12" t="inlineStr">
        <is>
          <t xml:space="preserve"> * بانک ملي کوي المهدي</t>
        </is>
      </c>
      <c r="P93" s="11" t="n">
        <v>1110</v>
      </c>
      <c r="Q93" s="11" t="n">
        <v>605</v>
      </c>
      <c r="R93" s="12" t="inlineStr">
        <is>
          <t>اقاي ضيافتي</t>
        </is>
      </c>
      <c r="S93" s="11" t="n">
        <v>14040922</v>
      </c>
      <c r="T93" s="11" t="b">
        <v>0</v>
      </c>
      <c r="U93" s="12" t="inlineStr">
        <is>
          <t>جمع 483,325,000,000</t>
        </is>
      </c>
      <c r="V93" s="11" t="n"/>
      <c r="W93" s="11" t="inlineStr">
        <is>
          <t>دريافتي</t>
        </is>
      </c>
      <c r="X93" s="11" t="n">
        <v>0</v>
      </c>
    </row>
    <row r="94">
      <c r="A94" s="7" t="n">
        <v>1105</v>
      </c>
      <c r="B94" s="52" t="inlineStr">
        <is>
          <t>349380</t>
        </is>
      </c>
      <c r="C94" s="7" t="inlineStr">
        <is>
          <t>c</t>
        </is>
      </c>
      <c r="D94" s="7" t="n">
        <v>14</v>
      </c>
      <c r="E94" s="7" t="n">
        <v>3042</v>
      </c>
      <c r="F94" s="7" t="n">
        <v>148189</v>
      </c>
      <c r="G94" s="7" t="n">
        <v>1404341</v>
      </c>
      <c r="H94" s="7" t="n">
        <v>14041205</v>
      </c>
      <c r="I94" s="7" t="n">
        <v>0</v>
      </c>
      <c r="J94" s="7" t="n">
        <v>1001</v>
      </c>
      <c r="K94" s="7" t="n">
        <v>14050906</v>
      </c>
      <c r="L94" s="13" t="n">
        <v>1400000000</v>
      </c>
      <c r="M94" s="8" t="inlineStr">
        <is>
          <t>8759020042035578</t>
        </is>
      </c>
      <c r="N94" s="7" t="n">
        <v>0</v>
      </c>
      <c r="O94" s="8" t="inlineStr">
        <is>
          <t xml:space="preserve"> * سپه امام خميني</t>
        </is>
      </c>
      <c r="P94" s="7" t="n">
        <v>1110</v>
      </c>
      <c r="Q94" s="7" t="n">
        <v>758</v>
      </c>
      <c r="R94" s="8" t="inlineStr">
        <is>
          <t>ميلاد داوري</t>
        </is>
      </c>
      <c r="S94" s="7" t="n">
        <v>14041205</v>
      </c>
      <c r="T94" s="7" t="b">
        <v>0</v>
      </c>
      <c r="U94" s="8" t="inlineStr">
        <is>
          <t>جمع 483,325,000,000</t>
        </is>
      </c>
      <c r="V94" s="7" t="n"/>
      <c r="W94" s="7" t="inlineStr">
        <is>
          <t>دريافتي</t>
        </is>
      </c>
      <c r="X94" s="7" t="n">
        <v>0</v>
      </c>
    </row>
    <row r="95">
      <c r="A95" s="11" t="n">
        <v>1105</v>
      </c>
      <c r="B95" s="49" t="inlineStr">
        <is>
          <t>179686</t>
        </is>
      </c>
      <c r="C95" s="11" t="inlineStr">
        <is>
          <t>c</t>
        </is>
      </c>
      <c r="D95" s="11" t="n">
        <v>3</v>
      </c>
      <c r="E95" s="11" t="n">
        <v>2241</v>
      </c>
      <c r="F95" s="11" t="n">
        <v>115585</v>
      </c>
      <c r="G95" s="11" t="n">
        <v>1403333</v>
      </c>
      <c r="H95" s="11" t="n">
        <v>14031127</v>
      </c>
      <c r="I95" s="11" t="n">
        <v>0</v>
      </c>
      <c r="J95" s="11" t="n">
        <v>1001</v>
      </c>
      <c r="K95" s="11" t="n">
        <v>14050910</v>
      </c>
      <c r="L95" s="14" t="n">
        <v>1400000000</v>
      </c>
      <c r="M95" s="12" t="inlineStr">
        <is>
          <t>4309030115225520</t>
        </is>
      </c>
      <c r="N95" s="11" t="n">
        <v>0</v>
      </c>
      <c r="O95" s="12" t="inlineStr">
        <is>
          <t xml:space="preserve"> * بانک ملي کوي المهدي</t>
        </is>
      </c>
      <c r="P95" s="11" t="n">
        <v>1110</v>
      </c>
      <c r="Q95" s="11" t="n">
        <v>605</v>
      </c>
      <c r="R95" s="12" t="inlineStr">
        <is>
          <t>اقاي ضيافتي</t>
        </is>
      </c>
      <c r="S95" s="11" t="n">
        <v>14031127</v>
      </c>
      <c r="T95" s="11" t="b">
        <v>0</v>
      </c>
      <c r="U95" s="12" t="inlineStr">
        <is>
          <t>جمع 483,325,000,000</t>
        </is>
      </c>
      <c r="V95" s="11" t="n"/>
      <c r="W95" s="11" t="inlineStr">
        <is>
          <t>دريافتي</t>
        </is>
      </c>
      <c r="X95" s="11" t="n">
        <v>0</v>
      </c>
    </row>
    <row r="96">
      <c r="A96" s="7" t="n">
        <v>1105</v>
      </c>
      <c r="B96" s="52" t="inlineStr">
        <is>
          <t>804987</t>
        </is>
      </c>
      <c r="C96" s="7" t="inlineStr">
        <is>
          <t>c</t>
        </is>
      </c>
      <c r="D96" s="7" t="n">
        <v>14</v>
      </c>
      <c r="E96" s="7" t="n">
        <v>2996</v>
      </c>
      <c r="F96" s="7" t="n">
        <v>145983</v>
      </c>
      <c r="G96" s="7" t="n">
        <v>1404312</v>
      </c>
      <c r="H96" s="7" t="n">
        <v>14041106</v>
      </c>
      <c r="I96" s="7" t="n">
        <v>0</v>
      </c>
      <c r="J96" s="7" t="n">
        <v>1001</v>
      </c>
      <c r="K96" s="7" t="n">
        <v>14050910</v>
      </c>
      <c r="L96" s="13" t="n">
        <v>1380000000</v>
      </c>
      <c r="M96" s="8" t="inlineStr">
        <is>
          <t>99100300711639291</t>
        </is>
      </c>
      <c r="N96" s="7" t="n">
        <v>0</v>
      </c>
      <c r="O96" s="8" t="inlineStr">
        <is>
          <t xml:space="preserve"> * سپه امام رضا فريمان</t>
        </is>
      </c>
      <c r="P96" s="7" t="n">
        <v>1110</v>
      </c>
      <c r="Q96" s="7" t="n">
        <v>605</v>
      </c>
      <c r="R96" s="8" t="inlineStr">
        <is>
          <t>اقاي ضيافتي</t>
        </is>
      </c>
      <c r="S96" s="7" t="n">
        <v>14041106</v>
      </c>
      <c r="T96" s="7" t="b">
        <v>0</v>
      </c>
      <c r="U96" s="8" t="inlineStr">
        <is>
          <t>جمع 483,325,000,000</t>
        </is>
      </c>
      <c r="V96" s="7" t="n"/>
      <c r="W96" s="7" t="inlineStr">
        <is>
          <t>دريافتي</t>
        </is>
      </c>
      <c r="X96" s="7" t="n">
        <v>0</v>
      </c>
    </row>
    <row r="97">
      <c r="A97" s="11" t="n">
        <v>1105</v>
      </c>
      <c r="B97" s="49" t="inlineStr">
        <is>
          <t>791199</t>
        </is>
      </c>
      <c r="C97" s="11" t="inlineStr">
        <is>
          <t>c</t>
        </is>
      </c>
      <c r="D97" s="11" t="n">
        <v>7</v>
      </c>
      <c r="E97" s="11" t="n">
        <v>3350</v>
      </c>
      <c r="F97" s="11" t="n">
        <v>159041</v>
      </c>
      <c r="G97" s="11" t="n">
        <v>1405135</v>
      </c>
      <c r="H97" s="11" t="n">
        <v>14050511</v>
      </c>
      <c r="I97" s="11" t="n">
        <v>0</v>
      </c>
      <c r="J97" s="11" t="n">
        <v>1001</v>
      </c>
      <c r="K97" s="11" t="n">
        <v>14050910</v>
      </c>
      <c r="L97" s="14" t="n">
        <v>490000000</v>
      </c>
      <c r="M97" s="12" t="inlineStr">
        <is>
          <t>3079040177207490</t>
        </is>
      </c>
      <c r="N97" s="11" t="n">
        <v>0</v>
      </c>
      <c r="O97" s="12" t="inlineStr">
        <is>
          <t xml:space="preserve"> * پاسارگاد قرني مشهد</t>
        </is>
      </c>
      <c r="P97" s="11" t="n">
        <v>1110</v>
      </c>
      <c r="Q97" s="11" t="n">
        <v>9</v>
      </c>
      <c r="R97" s="12" t="inlineStr">
        <is>
          <t>آقاي مرتضي موذن</t>
        </is>
      </c>
      <c r="S97" s="11" t="n">
        <v>14050511</v>
      </c>
      <c r="T97" s="11" t="b">
        <v>0</v>
      </c>
      <c r="U97" s="12" t="inlineStr">
        <is>
          <t>جمع 483,325,000,000</t>
        </is>
      </c>
      <c r="V97" s="11" t="n"/>
      <c r="W97" s="11" t="inlineStr">
        <is>
          <t>دريافتي</t>
        </is>
      </c>
      <c r="X97" s="11" t="n">
        <v>0</v>
      </c>
    </row>
    <row r="98">
      <c r="A98" s="7" t="n">
        <v>1105</v>
      </c>
      <c r="B98" s="52" t="inlineStr">
        <is>
          <t>791200</t>
        </is>
      </c>
      <c r="C98" s="7" t="inlineStr">
        <is>
          <t>c</t>
        </is>
      </c>
      <c r="D98" s="7" t="n">
        <v>7</v>
      </c>
      <c r="E98" s="7" t="n">
        <v>3351</v>
      </c>
      <c r="F98" s="7" t="n">
        <v>159043</v>
      </c>
      <c r="G98" s="7" t="n">
        <v>1405135</v>
      </c>
      <c r="H98" s="7" t="n">
        <v>14050511</v>
      </c>
      <c r="I98" s="7" t="n">
        <v>0</v>
      </c>
      <c r="J98" s="7" t="n">
        <v>1001</v>
      </c>
      <c r="K98" s="7" t="n">
        <v>14050915</v>
      </c>
      <c r="L98" s="13" t="n">
        <v>490000000</v>
      </c>
      <c r="M98" s="8" t="inlineStr">
        <is>
          <t>4477040177207491</t>
        </is>
      </c>
      <c r="N98" s="7" t="n">
        <v>0</v>
      </c>
      <c r="O98" s="8" t="inlineStr">
        <is>
          <t xml:space="preserve"> * پاسارگاد قرني</t>
        </is>
      </c>
      <c r="P98" s="7" t="n">
        <v>1110</v>
      </c>
      <c r="Q98" s="7" t="n">
        <v>9</v>
      </c>
      <c r="R98" s="8" t="inlineStr">
        <is>
          <t>آقاي مرتضي موذن</t>
        </is>
      </c>
      <c r="S98" s="7" t="n">
        <v>14050511</v>
      </c>
      <c r="T98" s="7" t="b">
        <v>0</v>
      </c>
      <c r="U98" s="8" t="inlineStr">
        <is>
          <t>جمع 483,325,000,000</t>
        </is>
      </c>
      <c r="V98" s="7" t="n"/>
      <c r="W98" s="7" t="inlineStr">
        <is>
          <t>دريافتي</t>
        </is>
      </c>
      <c r="X98" s="7" t="n">
        <v>0</v>
      </c>
    </row>
    <row r="99">
      <c r="A99" s="11" t="n">
        <v>1105</v>
      </c>
      <c r="B99" s="49" t="inlineStr">
        <is>
          <t>824589</t>
        </is>
      </c>
      <c r="C99" s="11" t="inlineStr">
        <is>
          <t>c</t>
        </is>
      </c>
      <c r="D99" s="11" t="n">
        <v>9</v>
      </c>
      <c r="E99" s="11" t="n">
        <v>2619</v>
      </c>
      <c r="F99" s="11" t="n">
        <v>131691</v>
      </c>
      <c r="G99" s="11" t="n">
        <v>1404175</v>
      </c>
      <c r="H99" s="11" t="n">
        <v>14040620</v>
      </c>
      <c r="I99" s="11" t="n">
        <v>0</v>
      </c>
      <c r="J99" s="11" t="n">
        <v>1001</v>
      </c>
      <c r="K99" s="11" t="n">
        <v>14050916</v>
      </c>
      <c r="L99" s="14" t="n">
        <v>2670000000</v>
      </c>
      <c r="M99" s="12" t="inlineStr">
        <is>
          <t>9330040056179006</t>
        </is>
      </c>
      <c r="N99" s="11" t="n">
        <v>0</v>
      </c>
      <c r="O99" s="12" t="inlineStr">
        <is>
          <t xml:space="preserve"> * صادرات سيدي</t>
        </is>
      </c>
      <c r="P99" s="11" t="n">
        <v>1110</v>
      </c>
      <c r="Q99" s="11" t="n">
        <v>605</v>
      </c>
      <c r="R99" s="12" t="inlineStr">
        <is>
          <t>اقاي ضيافتي</t>
        </is>
      </c>
      <c r="S99" s="11" t="n">
        <v>14040620</v>
      </c>
      <c r="T99" s="11" t="b">
        <v>0</v>
      </c>
      <c r="U99" s="12" t="inlineStr">
        <is>
          <t>جمع 483,325,000,000</t>
        </is>
      </c>
      <c r="V99" s="11" t="n"/>
      <c r="W99" s="11" t="inlineStr">
        <is>
          <t>دريافتي</t>
        </is>
      </c>
      <c r="X99" s="11" t="n">
        <v>0</v>
      </c>
    </row>
    <row r="100">
      <c r="A100" s="7" t="n">
        <v>1105</v>
      </c>
      <c r="B100" s="52" t="inlineStr">
        <is>
          <t>412968</t>
        </is>
      </c>
      <c r="C100" s="7" t="inlineStr">
        <is>
          <t>c</t>
        </is>
      </c>
      <c r="D100" s="7" t="n">
        <v>14</v>
      </c>
      <c r="E100" s="7" t="n">
        <v>3234</v>
      </c>
      <c r="F100" s="7" t="n">
        <v>154863</v>
      </c>
      <c r="G100" s="7" t="n">
        <v>1405078</v>
      </c>
      <c r="H100" s="7" t="n">
        <v>14050316</v>
      </c>
      <c r="I100" s="7" t="n">
        <v>0</v>
      </c>
      <c r="J100" s="7" t="n">
        <v>1001</v>
      </c>
      <c r="K100" s="7" t="n">
        <v>14050916</v>
      </c>
      <c r="L100" s="13" t="n">
        <v>995000000</v>
      </c>
      <c r="M100" s="8" t="inlineStr">
        <is>
          <t>2116030151725985</t>
        </is>
      </c>
      <c r="N100" s="7" t="n">
        <v>0</v>
      </c>
      <c r="O100" s="8" t="inlineStr">
        <is>
          <t xml:space="preserve"> * سپه بازار رضا </t>
        </is>
      </c>
      <c r="P100" s="7" t="n">
        <v>1110</v>
      </c>
      <c r="Q100" s="7" t="n">
        <v>716</v>
      </c>
      <c r="R100" s="8" t="inlineStr">
        <is>
          <t>مددي خريدار 207</t>
        </is>
      </c>
      <c r="S100" s="7" t="n">
        <v>14050316</v>
      </c>
      <c r="T100" s="7" t="b">
        <v>0</v>
      </c>
      <c r="U100" s="8" t="inlineStr">
        <is>
          <t>جمع 483,325,000,000</t>
        </is>
      </c>
      <c r="V100" s="7" t="n"/>
      <c r="W100" s="7" t="inlineStr">
        <is>
          <t>دريافتي</t>
        </is>
      </c>
      <c r="X100" s="7" t="n">
        <v>0</v>
      </c>
    </row>
    <row r="101">
      <c r="A101" s="11" t="n">
        <v>1105</v>
      </c>
      <c r="B101" s="49" t="inlineStr">
        <is>
          <t>266953</t>
        </is>
      </c>
      <c r="C101" s="11" t="inlineStr">
        <is>
          <t>c</t>
        </is>
      </c>
      <c r="D101" s="11" t="n">
        <v>12</v>
      </c>
      <c r="E101" s="11" t="n">
        <v>3359</v>
      </c>
      <c r="F101" s="11" t="n">
        <v>159837</v>
      </c>
      <c r="G101" s="11" t="n">
        <v>1405149</v>
      </c>
      <c r="H101" s="11" t="n">
        <v>14050525</v>
      </c>
      <c r="I101" s="11" t="n">
        <v>0</v>
      </c>
      <c r="J101" s="11" t="n">
        <v>1001</v>
      </c>
      <c r="K101" s="11" t="n">
        <v>14050916</v>
      </c>
      <c r="L101" s="14" t="n">
        <v>487500000</v>
      </c>
      <c r="M101" s="12" t="inlineStr">
        <is>
          <t>2462050070509553</t>
        </is>
      </c>
      <c r="N101" s="11" t="n">
        <v>0</v>
      </c>
      <c r="O101" s="12" t="inlineStr">
        <is>
          <t xml:space="preserve"> * کشاورزي خضري</t>
        </is>
      </c>
      <c r="P101" s="11" t="n">
        <v>1110</v>
      </c>
      <c r="Q101" s="11" t="n">
        <v>731</v>
      </c>
      <c r="R101" s="12" t="inlineStr">
        <is>
          <t>اشرافيان و دشت بياض</t>
        </is>
      </c>
      <c r="S101" s="11" t="n">
        <v>14050525</v>
      </c>
      <c r="T101" s="11" t="b">
        <v>0</v>
      </c>
      <c r="U101" s="12" t="inlineStr">
        <is>
          <t>جمع 483,325,000,000</t>
        </is>
      </c>
      <c r="V101" s="11" t="n"/>
      <c r="W101" s="11" t="inlineStr">
        <is>
          <t>دريافتي</t>
        </is>
      </c>
      <c r="X101" s="11" t="n">
        <v>0</v>
      </c>
    </row>
    <row r="102">
      <c r="A102" s="7" t="n">
        <v>1105</v>
      </c>
      <c r="B102" s="52" t="inlineStr">
        <is>
          <t>791201</t>
        </is>
      </c>
      <c r="C102" s="7" t="inlineStr">
        <is>
          <t>c</t>
        </is>
      </c>
      <c r="D102" s="7" t="n">
        <v>7</v>
      </c>
      <c r="E102" s="7" t="n">
        <v>3352</v>
      </c>
      <c r="F102" s="7" t="n">
        <v>159045</v>
      </c>
      <c r="G102" s="7" t="n">
        <v>1405135</v>
      </c>
      <c r="H102" s="7" t="n">
        <v>14050511</v>
      </c>
      <c r="I102" s="7" t="n">
        <v>0</v>
      </c>
      <c r="J102" s="7" t="n">
        <v>1001</v>
      </c>
      <c r="K102" s="7" t="n">
        <v>14050920</v>
      </c>
      <c r="L102" s="13" t="n">
        <v>490000000</v>
      </c>
      <c r="M102" s="8" t="inlineStr">
        <is>
          <t>3404040177207492</t>
        </is>
      </c>
      <c r="N102" s="7" t="n">
        <v>0</v>
      </c>
      <c r="O102" s="8" t="inlineStr">
        <is>
          <t xml:space="preserve"> * پاسارگاد قرني</t>
        </is>
      </c>
      <c r="P102" s="7" t="n">
        <v>1110</v>
      </c>
      <c r="Q102" s="7" t="n">
        <v>9</v>
      </c>
      <c r="R102" s="8" t="inlineStr">
        <is>
          <t>آقاي مرتضي موذن</t>
        </is>
      </c>
      <c r="S102" s="7" t="n">
        <v>14050511</v>
      </c>
      <c r="T102" s="7" t="b">
        <v>0</v>
      </c>
      <c r="U102" s="8" t="inlineStr">
        <is>
          <t>جمع 483,325,000,000</t>
        </is>
      </c>
      <c r="V102" s="7" t="n"/>
      <c r="W102" s="7" t="inlineStr">
        <is>
          <t>دريافتي</t>
        </is>
      </c>
      <c r="X102" s="7" t="n">
        <v>0</v>
      </c>
    </row>
    <row r="103">
      <c r="A103" s="11" t="n">
        <v>1105</v>
      </c>
      <c r="B103" s="49" t="inlineStr">
        <is>
          <t>093815</t>
        </is>
      </c>
      <c r="C103" s="11" t="inlineStr">
        <is>
          <t>c</t>
        </is>
      </c>
      <c r="D103" s="11" t="n">
        <v>14</v>
      </c>
      <c r="E103" s="11" t="n">
        <v>3136</v>
      </c>
      <c r="F103" s="11" t="n">
        <v>151723</v>
      </c>
      <c r="G103" s="11" t="n">
        <v>1405034</v>
      </c>
      <c r="H103" s="11" t="n">
        <v>14050203</v>
      </c>
      <c r="I103" s="11" t="n">
        <v>0</v>
      </c>
      <c r="J103" s="11" t="n">
        <v>1001</v>
      </c>
      <c r="K103" s="11" t="n">
        <v>14050924</v>
      </c>
      <c r="L103" s="14" t="n">
        <v>3720000000</v>
      </c>
      <c r="M103" s="12" t="inlineStr">
        <is>
          <t>411800094693691</t>
        </is>
      </c>
      <c r="N103" s="11" t="n">
        <v>0</v>
      </c>
      <c r="O103" s="12" t="inlineStr">
        <is>
          <t xml:space="preserve"> * سپه بازار بزرگ اطلس</t>
        </is>
      </c>
      <c r="P103" s="11" t="n">
        <v>1110</v>
      </c>
      <c r="Q103" s="11" t="n">
        <v>605</v>
      </c>
      <c r="R103" s="12" t="inlineStr">
        <is>
          <t>اقاي ضيافتي</t>
        </is>
      </c>
      <c r="S103" s="11" t="n">
        <v>14050203</v>
      </c>
      <c r="T103" s="11" t="b">
        <v>0</v>
      </c>
      <c r="U103" s="12" t="inlineStr">
        <is>
          <t>جمع 483,325,000,000</t>
        </is>
      </c>
      <c r="V103" s="11" t="n"/>
      <c r="W103" s="11" t="inlineStr">
        <is>
          <t>دريافتي</t>
        </is>
      </c>
      <c r="X103" s="11" t="n">
        <v>0</v>
      </c>
    </row>
    <row r="104">
      <c r="A104" s="7" t="n">
        <v>1105</v>
      </c>
      <c r="B104" s="52" t="inlineStr">
        <is>
          <t>284937</t>
        </is>
      </c>
      <c r="C104" s="7" t="inlineStr">
        <is>
          <t>c</t>
        </is>
      </c>
      <c r="D104" s="7" t="n">
        <v>3</v>
      </c>
      <c r="E104" s="7" t="n">
        <v>3084</v>
      </c>
      <c r="F104" s="7" t="n">
        <v>150063</v>
      </c>
      <c r="G104" s="7" t="n">
        <v>1405015</v>
      </c>
      <c r="H104" s="7" t="n">
        <v>14050115</v>
      </c>
      <c r="I104" s="7" t="n">
        <v>0</v>
      </c>
      <c r="J104" s="7" t="n">
        <v>1001</v>
      </c>
      <c r="K104" s="7" t="n">
        <v>14050925</v>
      </c>
      <c r="L104" s="13" t="n">
        <v>2200000000</v>
      </c>
      <c r="M104" s="8" t="inlineStr">
        <is>
          <t xml:space="preserve">1954040018207052-ريحانه روضه خوان- اسکندري </t>
        </is>
      </c>
      <c r="N104" s="7" t="n">
        <v>0</v>
      </c>
      <c r="O104" s="8" t="inlineStr">
        <is>
          <t xml:space="preserve"> * بانک ملي ب سازمان آب 8554</t>
        </is>
      </c>
      <c r="P104" s="7" t="n">
        <v>1110</v>
      </c>
      <c r="Q104" s="7" t="n">
        <v>605</v>
      </c>
      <c r="R104" s="8" t="inlineStr">
        <is>
          <t>اقاي ضيافتي</t>
        </is>
      </c>
      <c r="S104" s="7" t="n">
        <v>14050115</v>
      </c>
      <c r="T104" s="7" t="b">
        <v>0</v>
      </c>
      <c r="U104" s="8" t="inlineStr">
        <is>
          <t>جمع 483,325,000,000</t>
        </is>
      </c>
      <c r="V104" s="7" t="n"/>
      <c r="W104" s="7" t="inlineStr">
        <is>
          <t>دريافتي</t>
        </is>
      </c>
      <c r="X104" s="7" t="n">
        <v>0</v>
      </c>
    </row>
    <row r="105">
      <c r="A105" s="11" t="n">
        <v>1105</v>
      </c>
      <c r="B105" s="49" t="inlineStr">
        <is>
          <t>300937</t>
        </is>
      </c>
      <c r="C105" s="11" t="inlineStr">
        <is>
          <t>c</t>
        </is>
      </c>
      <c r="D105" s="11" t="n">
        <v>3</v>
      </c>
      <c r="E105" s="11" t="n">
        <v>3174</v>
      </c>
      <c r="F105" s="11" t="n">
        <v>152863</v>
      </c>
      <c r="G105" s="11" t="n">
        <v>1405050</v>
      </c>
      <c r="H105" s="11" t="n">
        <v>14050219</v>
      </c>
      <c r="I105" s="11" t="n">
        <v>0</v>
      </c>
      <c r="J105" s="11" t="n">
        <v>1001</v>
      </c>
      <c r="K105" s="11" t="n">
        <v>14050925</v>
      </c>
      <c r="L105" s="14" t="n">
        <v>15200000000</v>
      </c>
      <c r="M105" s="12" t="inlineStr">
        <is>
          <t>7108040191134435</t>
        </is>
      </c>
      <c r="N105" s="11" t="n">
        <v>0</v>
      </c>
      <c r="O105" s="12" t="inlineStr">
        <is>
          <t xml:space="preserve"> * بانک ملي بيمارستان قايم</t>
        </is>
      </c>
      <c r="P105" s="11" t="n">
        <v>1110</v>
      </c>
      <c r="Q105" s="11" t="n">
        <v>605</v>
      </c>
      <c r="R105" s="12" t="inlineStr">
        <is>
          <t>اقاي ضيافتي</t>
        </is>
      </c>
      <c r="S105" s="11" t="n">
        <v>14050219</v>
      </c>
      <c r="T105" s="11" t="b">
        <v>0</v>
      </c>
      <c r="U105" s="12" t="inlineStr">
        <is>
          <t>جمع 483,325,000,000</t>
        </is>
      </c>
      <c r="V105" s="11" t="n"/>
      <c r="W105" s="11" t="inlineStr">
        <is>
          <t>دريافتي</t>
        </is>
      </c>
      <c r="X105" s="11" t="n">
        <v>0</v>
      </c>
    </row>
    <row r="106">
      <c r="A106" s="7" t="n">
        <v>1105</v>
      </c>
      <c r="B106" s="52" t="inlineStr">
        <is>
          <t>855068</t>
        </is>
      </c>
      <c r="C106" s="7" t="inlineStr">
        <is>
          <t>c</t>
        </is>
      </c>
      <c r="D106" s="7" t="n">
        <v>15</v>
      </c>
      <c r="E106" s="7" t="n">
        <v>3289</v>
      </c>
      <c r="F106" s="7" t="n">
        <v>156899</v>
      </c>
      <c r="G106" s="7" t="n">
        <v>1405106</v>
      </c>
      <c r="H106" s="7" t="n">
        <v>14050413</v>
      </c>
      <c r="I106" s="7" t="n">
        <v>0</v>
      </c>
      <c r="J106" s="7" t="n">
        <v>1001</v>
      </c>
      <c r="K106" s="7" t="n">
        <v>14050925</v>
      </c>
      <c r="L106" s="13" t="n">
        <v>5500000000</v>
      </c>
      <c r="M106" s="8" t="inlineStr">
        <is>
          <t>3800050004531114</t>
        </is>
      </c>
      <c r="N106" s="7" t="n">
        <v>0</v>
      </c>
      <c r="O106" s="8" t="inlineStr">
        <is>
          <t xml:space="preserve"> * ملت شيرازي</t>
        </is>
      </c>
      <c r="P106" s="7" t="n">
        <v>1110</v>
      </c>
      <c r="Q106" s="7" t="n">
        <v>605</v>
      </c>
      <c r="R106" s="8" t="inlineStr">
        <is>
          <t>اقاي ضيافتي</t>
        </is>
      </c>
      <c r="S106" s="7" t="n">
        <v>14050413</v>
      </c>
      <c r="T106" s="7" t="b">
        <v>0</v>
      </c>
      <c r="U106" s="8" t="inlineStr">
        <is>
          <t>جمع 483,325,000,000</t>
        </is>
      </c>
      <c r="V106" s="7" t="n"/>
      <c r="W106" s="7" t="inlineStr">
        <is>
          <t>دريافتي</t>
        </is>
      </c>
      <c r="X106" s="7" t="n">
        <v>0</v>
      </c>
    </row>
    <row r="107">
      <c r="A107" s="11" t="n">
        <v>1105</v>
      </c>
      <c r="B107" s="49" t="inlineStr">
        <is>
          <t>791202</t>
        </is>
      </c>
      <c r="C107" s="11" t="inlineStr">
        <is>
          <t>c</t>
        </is>
      </c>
      <c r="D107" s="11" t="n">
        <v>7</v>
      </c>
      <c r="E107" s="11" t="n">
        <v>3353</v>
      </c>
      <c r="F107" s="11" t="n">
        <v>159047</v>
      </c>
      <c r="G107" s="11" t="n">
        <v>1405135</v>
      </c>
      <c r="H107" s="11" t="n">
        <v>14050511</v>
      </c>
      <c r="I107" s="11" t="n">
        <v>0</v>
      </c>
      <c r="J107" s="11" t="n">
        <v>1001</v>
      </c>
      <c r="K107" s="11" t="n">
        <v>14050925</v>
      </c>
      <c r="L107" s="14" t="n">
        <v>490000000</v>
      </c>
      <c r="M107" s="12" t="inlineStr">
        <is>
          <t>5120040177207493</t>
        </is>
      </c>
      <c r="N107" s="11" t="n">
        <v>0</v>
      </c>
      <c r="O107" s="12" t="inlineStr">
        <is>
          <t xml:space="preserve"> * پاسارگاد قرني</t>
        </is>
      </c>
      <c r="P107" s="11" t="n">
        <v>1110</v>
      </c>
      <c r="Q107" s="11" t="n">
        <v>9</v>
      </c>
      <c r="R107" s="12" t="inlineStr">
        <is>
          <t>آقاي مرتضي موذن</t>
        </is>
      </c>
      <c r="S107" s="11" t="n">
        <v>14050511</v>
      </c>
      <c r="T107" s="11" t="b">
        <v>0</v>
      </c>
      <c r="U107" s="12" t="inlineStr">
        <is>
          <t>جمع 483,325,000,000</t>
        </is>
      </c>
      <c r="V107" s="11" t="n"/>
      <c r="W107" s="11" t="inlineStr">
        <is>
          <t>دريافتي</t>
        </is>
      </c>
      <c r="X107" s="11" t="n">
        <v>0</v>
      </c>
    </row>
    <row r="108">
      <c r="A108" s="7" t="n">
        <v>1105</v>
      </c>
      <c r="B108" s="52" t="inlineStr">
        <is>
          <t>791203</t>
        </is>
      </c>
      <c r="C108" s="7" t="inlineStr">
        <is>
          <t>c</t>
        </is>
      </c>
      <c r="D108" s="7" t="n">
        <v>7</v>
      </c>
      <c r="E108" s="7" t="n">
        <v>3354</v>
      </c>
      <c r="F108" s="7" t="n">
        <v>159049</v>
      </c>
      <c r="G108" s="7" t="n">
        <v>1405135</v>
      </c>
      <c r="H108" s="7" t="n">
        <v>14050511</v>
      </c>
      <c r="I108" s="7" t="n">
        <v>0</v>
      </c>
      <c r="J108" s="7" t="n">
        <v>1001</v>
      </c>
      <c r="K108" s="7" t="n">
        <v>14050930</v>
      </c>
      <c r="L108" s="13" t="n">
        <v>490000000</v>
      </c>
      <c r="M108" s="8" t="inlineStr">
        <is>
          <t>6201040177207494</t>
        </is>
      </c>
      <c r="N108" s="7" t="n">
        <v>0</v>
      </c>
      <c r="O108" s="8" t="inlineStr">
        <is>
          <t xml:space="preserve"> * پاسارگاد قرني</t>
        </is>
      </c>
      <c r="P108" s="7" t="n">
        <v>1110</v>
      </c>
      <c r="Q108" s="7" t="n">
        <v>9</v>
      </c>
      <c r="R108" s="8" t="inlineStr">
        <is>
          <t>آقاي مرتضي موذن</t>
        </is>
      </c>
      <c r="S108" s="7" t="n">
        <v>14050511</v>
      </c>
      <c r="T108" s="7" t="b">
        <v>0</v>
      </c>
      <c r="U108" s="8" t="inlineStr">
        <is>
          <t>جمع 483,325,000,000</t>
        </is>
      </c>
      <c r="V108" s="7" t="n"/>
      <c r="W108" s="7" t="inlineStr">
        <is>
          <t>دريافتي</t>
        </is>
      </c>
      <c r="X108" s="7" t="n">
        <v>0</v>
      </c>
    </row>
    <row r="109">
      <c r="A109" s="11" t="n">
        <v>1105</v>
      </c>
      <c r="B109" s="49" t="inlineStr">
        <is>
          <t>970087</t>
        </is>
      </c>
      <c r="C109" s="11" t="inlineStr">
        <is>
          <t>c</t>
        </is>
      </c>
      <c r="D109" s="11" t="n">
        <v>3</v>
      </c>
      <c r="E109" s="11" t="n">
        <v>2148</v>
      </c>
      <c r="F109" s="11" t="n">
        <v>111651</v>
      </c>
      <c r="G109" s="11" t="n">
        <v>1403281</v>
      </c>
      <c r="H109" s="11" t="n">
        <v>14031005</v>
      </c>
      <c r="I109" s="11" t="n">
        <v>0</v>
      </c>
      <c r="J109" s="11" t="n">
        <v>1001</v>
      </c>
      <c r="K109" s="11" t="n">
        <v>14051001</v>
      </c>
      <c r="L109" s="14" t="n">
        <v>5660000000</v>
      </c>
      <c r="M109" s="12" t="inlineStr">
        <is>
          <t>5222030099110173</t>
        </is>
      </c>
      <c r="N109" s="11" t="n">
        <v>0</v>
      </c>
      <c r="O109" s="12" t="inlineStr">
        <is>
          <t xml:space="preserve"> * بانک ملي کوي المهدي 8601</t>
        </is>
      </c>
      <c r="P109" s="11" t="n">
        <v>1110</v>
      </c>
      <c r="Q109" s="11" t="n">
        <v>689</v>
      </c>
      <c r="R109" s="12" t="inlineStr">
        <is>
          <t>ملک هاشميه</t>
        </is>
      </c>
      <c r="S109" s="11" t="n">
        <v>14031005</v>
      </c>
      <c r="T109" s="11" t="b">
        <v>0</v>
      </c>
      <c r="U109" s="12" t="inlineStr">
        <is>
          <t>جمع 483,325,000,000</t>
        </is>
      </c>
      <c r="V109" s="11" t="n">
        <v>0</v>
      </c>
      <c r="W109" s="11" t="inlineStr">
        <is>
          <t>دريافتي</t>
        </is>
      </c>
      <c r="X109" s="11" t="n">
        <v>0</v>
      </c>
    </row>
    <row r="110">
      <c r="A110" s="7" t="n">
        <v>1105</v>
      </c>
      <c r="B110" s="52" t="inlineStr">
        <is>
          <t>300933</t>
        </is>
      </c>
      <c r="C110" s="7" t="inlineStr">
        <is>
          <t>c</t>
        </is>
      </c>
      <c r="D110" s="7" t="n">
        <v>3</v>
      </c>
      <c r="E110" s="7" t="n">
        <v>3089</v>
      </c>
      <c r="F110" s="7" t="n">
        <v>150333</v>
      </c>
      <c r="G110" s="7" t="n">
        <v>1405017</v>
      </c>
      <c r="H110" s="7" t="n">
        <v>14050117</v>
      </c>
      <c r="I110" s="7" t="n">
        <v>0</v>
      </c>
      <c r="J110" s="7" t="n">
        <v>1001</v>
      </c>
      <c r="K110" s="7" t="n">
        <v>14051001</v>
      </c>
      <c r="L110" s="13" t="n">
        <v>6500000000</v>
      </c>
      <c r="M110" s="8" t="inlineStr">
        <is>
          <t>1512040191134431-معصومه دوامي</t>
        </is>
      </c>
      <c r="N110" s="7" t="n">
        <v>0</v>
      </c>
      <c r="O110" s="8" t="inlineStr">
        <is>
          <t xml:space="preserve"> * بانک ملي بيمارستان قايم مشهد 8545</t>
        </is>
      </c>
      <c r="P110" s="7" t="n">
        <v>1110</v>
      </c>
      <c r="Q110" s="7" t="n">
        <v>605</v>
      </c>
      <c r="R110" s="8" t="inlineStr">
        <is>
          <t>اقاي ضيافتي</t>
        </is>
      </c>
      <c r="S110" s="7" t="n">
        <v>14050117</v>
      </c>
      <c r="T110" s="7" t="b">
        <v>0</v>
      </c>
      <c r="U110" s="8" t="inlineStr">
        <is>
          <t>جمع 483,325,000,000</t>
        </is>
      </c>
      <c r="V110" s="7" t="n"/>
      <c r="W110" s="7" t="inlineStr">
        <is>
          <t>دريافتي</t>
        </is>
      </c>
      <c r="X110" s="7" t="n">
        <v>0</v>
      </c>
    </row>
    <row r="111">
      <c r="A111" s="11" t="n">
        <v>1105</v>
      </c>
      <c r="B111" s="49" t="inlineStr">
        <is>
          <t>33878540</t>
        </is>
      </c>
      <c r="C111" s="11" t="inlineStr">
        <is>
          <t>c</t>
        </is>
      </c>
      <c r="D111" s="11" t="n">
        <v>15</v>
      </c>
      <c r="E111" s="11" t="n">
        <v>3145</v>
      </c>
      <c r="F111" s="11" t="n">
        <v>151813</v>
      </c>
      <c r="G111" s="11" t="n">
        <v>1405036</v>
      </c>
      <c r="H111" s="11" t="n">
        <v>14050205</v>
      </c>
      <c r="I111" s="11" t="n">
        <v>0</v>
      </c>
      <c r="J111" s="11" t="n">
        <v>1001</v>
      </c>
      <c r="K111" s="11" t="n">
        <v>14051001</v>
      </c>
      <c r="L111" s="14" t="n">
        <v>2620000000</v>
      </c>
      <c r="M111" s="12" t="inlineStr">
        <is>
          <t>4356040184813906</t>
        </is>
      </c>
      <c r="N111" s="11" t="n">
        <v>0</v>
      </c>
      <c r="O111" s="12" t="inlineStr">
        <is>
          <t xml:space="preserve"> * ملت دانش اموز </t>
        </is>
      </c>
      <c r="P111" s="11" t="n">
        <v>1110</v>
      </c>
      <c r="Q111" s="11" t="n">
        <v>605</v>
      </c>
      <c r="R111" s="12" t="inlineStr">
        <is>
          <t>اقاي ضيافتي</t>
        </is>
      </c>
      <c r="S111" s="11" t="n">
        <v>14050205</v>
      </c>
      <c r="T111" s="11" t="b">
        <v>0</v>
      </c>
      <c r="U111" s="12" t="inlineStr">
        <is>
          <t>جمع 483,325,000,000</t>
        </is>
      </c>
      <c r="V111" s="11" t="n"/>
      <c r="W111" s="11" t="inlineStr">
        <is>
          <t>دريافتي</t>
        </is>
      </c>
      <c r="X111" s="11" t="n">
        <v>0</v>
      </c>
    </row>
    <row r="112">
      <c r="A112" s="7" t="n">
        <v>1105</v>
      </c>
      <c r="B112" s="52" t="inlineStr">
        <is>
          <t>135602</t>
        </is>
      </c>
      <c r="C112" s="7" t="inlineStr">
        <is>
          <t>c</t>
        </is>
      </c>
      <c r="D112" s="7" t="n">
        <v>21</v>
      </c>
      <c r="E112" s="7" t="n">
        <v>3347</v>
      </c>
      <c r="F112" s="7" t="n">
        <v>159005</v>
      </c>
      <c r="G112" s="7" t="n">
        <v>1405135</v>
      </c>
      <c r="H112" s="7" t="n">
        <v>14050511</v>
      </c>
      <c r="I112" s="7" t="n">
        <v>0</v>
      </c>
      <c r="J112" s="7" t="n">
        <v>1001</v>
      </c>
      <c r="K112" s="7" t="n">
        <v>14051001</v>
      </c>
      <c r="L112" s="13" t="n">
        <v>1000000000</v>
      </c>
      <c r="M112" s="8" t="inlineStr">
        <is>
          <t>3096050019357732</t>
        </is>
      </c>
      <c r="N112" s="7" t="n">
        <v>0</v>
      </c>
      <c r="O112" s="8" t="inlineStr">
        <is>
          <t xml:space="preserve"> * قرض الحسنه رسالت بانکداري اجتماعي</t>
        </is>
      </c>
      <c r="P112" s="7" t="n">
        <v>1110</v>
      </c>
      <c r="Q112" s="7" t="n">
        <v>596</v>
      </c>
      <c r="R112" s="8" t="inlineStr">
        <is>
          <t>مرتضي پيروزيان</t>
        </is>
      </c>
      <c r="S112" s="7" t="n">
        <v>14050511</v>
      </c>
      <c r="T112" s="7" t="b">
        <v>0</v>
      </c>
      <c r="U112" s="8" t="inlineStr">
        <is>
          <t>جمع 483,325,000,000</t>
        </is>
      </c>
      <c r="V112" s="7" t="n"/>
      <c r="W112" s="7" t="inlineStr">
        <is>
          <t>دريافتي</t>
        </is>
      </c>
      <c r="X112" s="7" t="n">
        <v>0</v>
      </c>
    </row>
    <row r="113">
      <c r="A113" s="11" t="n">
        <v>1105</v>
      </c>
      <c r="B113" s="49" t="inlineStr">
        <is>
          <t>810235</t>
        </is>
      </c>
      <c r="C113" s="11" t="inlineStr">
        <is>
          <t>c</t>
        </is>
      </c>
      <c r="D113" s="11" t="n">
        <v>9</v>
      </c>
      <c r="E113" s="11" t="n">
        <v>3301</v>
      </c>
      <c r="F113" s="11" t="n">
        <v>157421</v>
      </c>
      <c r="G113" s="11" t="n">
        <v>1405114</v>
      </c>
      <c r="H113" s="11" t="n">
        <v>14050421</v>
      </c>
      <c r="I113" s="11" t="n">
        <v>0</v>
      </c>
      <c r="J113" s="11" t="n">
        <v>1001</v>
      </c>
      <c r="K113" s="11" t="n">
        <v>14051002</v>
      </c>
      <c r="L113" s="14" t="n">
        <v>2000000000</v>
      </c>
      <c r="M113" s="12" t="inlineStr">
        <is>
          <t>3201030010355254</t>
        </is>
      </c>
      <c r="N113" s="11" t="n">
        <v>0</v>
      </c>
      <c r="O113" s="12" t="inlineStr">
        <is>
          <t xml:space="preserve"> * صادرات صفاشم</t>
        </is>
      </c>
      <c r="P113" s="11" t="n">
        <v>1110</v>
      </c>
      <c r="Q113" s="11" t="n">
        <v>605</v>
      </c>
      <c r="R113" s="12" t="inlineStr">
        <is>
          <t>اقاي ضيافتي</t>
        </is>
      </c>
      <c r="S113" s="11" t="n">
        <v>14050421</v>
      </c>
      <c r="T113" s="11" t="b">
        <v>0</v>
      </c>
      <c r="U113" s="12" t="inlineStr">
        <is>
          <t>جمع 483,325,000,000</t>
        </is>
      </c>
      <c r="V113" s="11" t="n"/>
      <c r="W113" s="11" t="inlineStr">
        <is>
          <t>دريافتي</t>
        </is>
      </c>
      <c r="X113" s="11" t="n">
        <v>0</v>
      </c>
    </row>
    <row r="114">
      <c r="A114" s="7" t="n">
        <v>1105</v>
      </c>
      <c r="B114" s="52" t="inlineStr">
        <is>
          <t>239937</t>
        </is>
      </c>
      <c r="C114" s="7" t="inlineStr">
        <is>
          <t>c</t>
        </is>
      </c>
      <c r="D114" s="7" t="n">
        <v>12</v>
      </c>
      <c r="E114" s="7" t="n">
        <v>3322</v>
      </c>
      <c r="F114" s="7" t="n">
        <v>158307</v>
      </c>
      <c r="G114" s="7" t="n">
        <v>1405127</v>
      </c>
      <c r="H114" s="7" t="n">
        <v>14050503</v>
      </c>
      <c r="I114" s="7" t="n">
        <v>0</v>
      </c>
      <c r="J114" s="7" t="n">
        <v>1001</v>
      </c>
      <c r="K114" s="7" t="n">
        <v>14051003</v>
      </c>
      <c r="L114" s="13" t="n">
        <v>1000000000</v>
      </c>
      <c r="M114" s="8" t="inlineStr">
        <is>
          <t>1422040061560091</t>
        </is>
      </c>
      <c r="N114" s="7" t="n">
        <v>0</v>
      </c>
      <c r="O114" s="8" t="inlineStr">
        <is>
          <t xml:space="preserve"> * کشاورزي شريعتي</t>
        </is>
      </c>
      <c r="P114" s="7" t="n">
        <v>1110</v>
      </c>
      <c r="Q114" s="7" t="n">
        <v>605</v>
      </c>
      <c r="R114" s="8" t="inlineStr">
        <is>
          <t>اقاي ضيافتي</t>
        </is>
      </c>
      <c r="S114" s="7" t="n">
        <v>14050503</v>
      </c>
      <c r="T114" s="7" t="b">
        <v>0</v>
      </c>
      <c r="U114" s="8" t="inlineStr">
        <is>
          <t>جمع 483,325,000,000</t>
        </is>
      </c>
      <c r="V114" s="7" t="n"/>
      <c r="W114" s="7" t="inlineStr">
        <is>
          <t>دريافتي</t>
        </is>
      </c>
      <c r="X114" s="7" t="n">
        <v>0</v>
      </c>
    </row>
    <row r="115">
      <c r="A115" s="11" t="n">
        <v>1105</v>
      </c>
      <c r="B115" s="49" t="inlineStr">
        <is>
          <t>533556</t>
        </is>
      </c>
      <c r="C115" s="11" t="inlineStr">
        <is>
          <t>c</t>
        </is>
      </c>
      <c r="D115" s="11" t="n">
        <v>6</v>
      </c>
      <c r="E115" s="11" t="n">
        <v>3230</v>
      </c>
      <c r="F115" s="11" t="n">
        <v>154305</v>
      </c>
      <c r="G115" s="11" t="n">
        <v>1405067</v>
      </c>
      <c r="H115" s="11" t="n">
        <v>14050305</v>
      </c>
      <c r="I115" s="11" t="n">
        <v>0</v>
      </c>
      <c r="J115" s="11" t="n">
        <v>1001</v>
      </c>
      <c r="K115" s="11" t="n">
        <v>14051005</v>
      </c>
      <c r="L115" s="14" t="n">
        <v>2950000000</v>
      </c>
      <c r="M115" s="12" t="inlineStr">
        <is>
          <t>5938050026755149</t>
        </is>
      </c>
      <c r="N115" s="11" t="n">
        <v>0</v>
      </c>
      <c r="O115" s="12" t="inlineStr">
        <is>
          <t xml:space="preserve"> * رفاه بيمارستان امام رضا</t>
        </is>
      </c>
      <c r="P115" s="11" t="n">
        <v>1110</v>
      </c>
      <c r="Q115" s="11" t="n">
        <v>605</v>
      </c>
      <c r="R115" s="12" t="inlineStr">
        <is>
          <t>اقاي ضيافتي</t>
        </is>
      </c>
      <c r="S115" s="11" t="n">
        <v>14050305</v>
      </c>
      <c r="T115" s="11" t="b">
        <v>0</v>
      </c>
      <c r="U115" s="12" t="inlineStr">
        <is>
          <t>جمع 483,325,000,000</t>
        </is>
      </c>
      <c r="V115" s="11" t="n"/>
      <c r="W115" s="11" t="inlineStr">
        <is>
          <t>دريافتي</t>
        </is>
      </c>
      <c r="X115" s="11" t="n">
        <v>0</v>
      </c>
    </row>
    <row r="116">
      <c r="A116" s="7" t="n">
        <v>1105</v>
      </c>
      <c r="B116" s="52" t="inlineStr">
        <is>
          <t>349381</t>
        </is>
      </c>
      <c r="C116" s="7" t="inlineStr">
        <is>
          <t>c</t>
        </is>
      </c>
      <c r="D116" s="7" t="n">
        <v>14</v>
      </c>
      <c r="E116" s="7" t="n">
        <v>3041</v>
      </c>
      <c r="F116" s="7" t="n">
        <v>148187</v>
      </c>
      <c r="G116" s="7" t="n">
        <v>1404341</v>
      </c>
      <c r="H116" s="7" t="n">
        <v>14041205</v>
      </c>
      <c r="I116" s="7" t="n">
        <v>0</v>
      </c>
      <c r="J116" s="7" t="n">
        <v>1001</v>
      </c>
      <c r="K116" s="7" t="n">
        <v>14051006</v>
      </c>
      <c r="L116" s="13" t="n">
        <v>1400000000</v>
      </c>
      <c r="M116" s="8" t="inlineStr">
        <is>
          <t>4521020042035579</t>
        </is>
      </c>
      <c r="N116" s="7" t="n">
        <v>0</v>
      </c>
      <c r="O116" s="8" t="inlineStr">
        <is>
          <t xml:space="preserve"> * سپه امام خميني</t>
        </is>
      </c>
      <c r="P116" s="7" t="n">
        <v>1110</v>
      </c>
      <c r="Q116" s="7" t="n">
        <v>758</v>
      </c>
      <c r="R116" s="8" t="inlineStr">
        <is>
          <t>ميلاد داوري</t>
        </is>
      </c>
      <c r="S116" s="7" t="n">
        <v>14041205</v>
      </c>
      <c r="T116" s="7" t="b">
        <v>0</v>
      </c>
      <c r="U116" s="8" t="inlineStr">
        <is>
          <t>جمع 483,325,000,000</t>
        </is>
      </c>
      <c r="V116" s="7" t="n"/>
      <c r="W116" s="7" t="inlineStr">
        <is>
          <t>دريافتي</t>
        </is>
      </c>
      <c r="X116" s="7" t="n">
        <v>0</v>
      </c>
    </row>
    <row r="117">
      <c r="A117" s="11" t="n">
        <v>1105</v>
      </c>
      <c r="B117" s="49" t="inlineStr">
        <is>
          <t>030620</t>
        </is>
      </c>
      <c r="C117" s="11" t="inlineStr">
        <is>
          <t>c</t>
        </is>
      </c>
      <c r="D117" s="11" t="n">
        <v>14</v>
      </c>
      <c r="E117" s="11" t="n">
        <v>3153</v>
      </c>
      <c r="F117" s="11" t="n">
        <v>151913</v>
      </c>
      <c r="G117" s="11" t="n">
        <v>1405037</v>
      </c>
      <c r="H117" s="11" t="n">
        <v>14050206</v>
      </c>
      <c r="I117" s="11" t="n">
        <v>0</v>
      </c>
      <c r="J117" s="11" t="n">
        <v>1001</v>
      </c>
      <c r="K117" s="11" t="n">
        <v>14051006</v>
      </c>
      <c r="L117" s="14" t="n">
        <v>1160000000</v>
      </c>
      <c r="M117" s="12" t="inlineStr">
        <is>
          <t>2610040153416467</t>
        </is>
      </c>
      <c r="N117" s="11" t="n">
        <v>0</v>
      </c>
      <c r="O117" s="12" t="inlineStr">
        <is>
          <t xml:space="preserve"> * سپه سيدي مشهد</t>
        </is>
      </c>
      <c r="P117" s="11" t="n">
        <v>1110</v>
      </c>
      <c r="Q117" s="11" t="n">
        <v>605</v>
      </c>
      <c r="R117" s="12" t="inlineStr">
        <is>
          <t>اقاي ضيافتي</t>
        </is>
      </c>
      <c r="S117" s="11" t="n">
        <v>14050206</v>
      </c>
      <c r="T117" s="11" t="b">
        <v>0</v>
      </c>
      <c r="U117" s="12" t="inlineStr">
        <is>
          <t>جمع 483,325,000,000</t>
        </is>
      </c>
      <c r="V117" s="11" t="n"/>
      <c r="W117" s="11" t="inlineStr">
        <is>
          <t>دريافتي</t>
        </is>
      </c>
      <c r="X117" s="11" t="n">
        <v>0</v>
      </c>
    </row>
    <row r="118">
      <c r="A118" s="7" t="n">
        <v>1105</v>
      </c>
      <c r="B118" s="52" t="inlineStr">
        <is>
          <t>824576</t>
        </is>
      </c>
      <c r="C118" s="7" t="inlineStr">
        <is>
          <t>c</t>
        </is>
      </c>
      <c r="D118" s="7" t="n">
        <v>9</v>
      </c>
      <c r="E118" s="7" t="n">
        <v>2633</v>
      </c>
      <c r="F118" s="7" t="n">
        <v>131721</v>
      </c>
      <c r="G118" s="7" t="n">
        <v>1404175</v>
      </c>
      <c r="H118" s="7" t="n">
        <v>14040620</v>
      </c>
      <c r="I118" s="7" t="n">
        <v>0</v>
      </c>
      <c r="J118" s="7" t="n">
        <v>1001</v>
      </c>
      <c r="K118" s="7" t="n">
        <v>14051016</v>
      </c>
      <c r="L118" s="13" t="n">
        <v>2670000000</v>
      </c>
      <c r="M118" s="8" t="inlineStr">
        <is>
          <t>4409040056178993-چک04/07/16</t>
        </is>
      </c>
      <c r="N118" s="7" t="n">
        <v>0</v>
      </c>
      <c r="O118" s="8" t="inlineStr">
        <is>
          <t xml:space="preserve"> * صادرات سيدي</t>
        </is>
      </c>
      <c r="P118" s="7" t="n">
        <v>1110</v>
      </c>
      <c r="Q118" s="7" t="n">
        <v>605</v>
      </c>
      <c r="R118" s="8" t="inlineStr">
        <is>
          <t>اقاي ضيافتي</t>
        </is>
      </c>
      <c r="S118" s="7" t="n">
        <v>14040620</v>
      </c>
      <c r="T118" s="7" t="b">
        <v>0</v>
      </c>
      <c r="U118" s="8" t="inlineStr">
        <is>
          <t>جمع 483,325,000,000</t>
        </is>
      </c>
      <c r="V118" s="7" t="n">
        <v>0</v>
      </c>
      <c r="W118" s="7" t="inlineStr">
        <is>
          <t>دريافتي</t>
        </is>
      </c>
      <c r="X118" s="7" t="n">
        <v>0</v>
      </c>
    </row>
    <row r="119">
      <c r="A119" s="11" t="n">
        <v>1105</v>
      </c>
      <c r="B119" s="49" t="inlineStr">
        <is>
          <t>266954</t>
        </is>
      </c>
      <c r="C119" s="11" t="inlineStr">
        <is>
          <t>c</t>
        </is>
      </c>
      <c r="D119" s="11" t="n">
        <v>12</v>
      </c>
      <c r="E119" s="11" t="n">
        <v>3360</v>
      </c>
      <c r="F119" s="11" t="n">
        <v>159839</v>
      </c>
      <c r="G119" s="11" t="n">
        <v>1405149</v>
      </c>
      <c r="H119" s="11" t="n">
        <v>14050525</v>
      </c>
      <c r="I119" s="11" t="n">
        <v>0</v>
      </c>
      <c r="J119" s="11" t="n">
        <v>1001</v>
      </c>
      <c r="K119" s="11" t="n">
        <v>14051016</v>
      </c>
      <c r="L119" s="14" t="n">
        <v>487500000</v>
      </c>
      <c r="M119" s="12" t="inlineStr">
        <is>
          <t>3194050070509554</t>
        </is>
      </c>
      <c r="N119" s="11" t="n">
        <v>0</v>
      </c>
      <c r="O119" s="12" t="inlineStr">
        <is>
          <t xml:space="preserve"> * کشاورزي خضري</t>
        </is>
      </c>
      <c r="P119" s="11" t="n">
        <v>1110</v>
      </c>
      <c r="Q119" s="11" t="n">
        <v>731</v>
      </c>
      <c r="R119" s="12" t="inlineStr">
        <is>
          <t>اشرافيان و دشت بياض</t>
        </is>
      </c>
      <c r="S119" s="11" t="n">
        <v>14050525</v>
      </c>
      <c r="T119" s="11" t="b">
        <v>0</v>
      </c>
      <c r="U119" s="12" t="inlineStr">
        <is>
          <t>جمع 483,325,000,000</t>
        </is>
      </c>
      <c r="V119" s="11" t="n"/>
      <c r="W119" s="11" t="inlineStr">
        <is>
          <t>دريافتي</t>
        </is>
      </c>
      <c r="X119" s="11" t="n">
        <v>0</v>
      </c>
    </row>
    <row r="120">
      <c r="A120" s="7" t="n">
        <v>1105</v>
      </c>
      <c r="B120" s="52" t="inlineStr">
        <is>
          <t>195317</t>
        </is>
      </c>
      <c r="C120" s="7" t="inlineStr">
        <is>
          <t>c</t>
        </is>
      </c>
      <c r="D120" s="7" t="n">
        <v>9</v>
      </c>
      <c r="E120" s="7" t="n">
        <v>3331</v>
      </c>
      <c r="F120" s="7" t="n">
        <v>158637</v>
      </c>
      <c r="G120" s="7" t="n">
        <v>1405130</v>
      </c>
      <c r="H120" s="7" t="n">
        <v>14050506</v>
      </c>
      <c r="I120" s="7" t="n">
        <v>0</v>
      </c>
      <c r="J120" s="7" t="n">
        <v>1001</v>
      </c>
      <c r="K120" s="7" t="n">
        <v>14051020</v>
      </c>
      <c r="L120" s="13" t="n">
        <v>12450000000</v>
      </c>
      <c r="M120" s="8" t="inlineStr">
        <is>
          <t>4050050035946782</t>
        </is>
      </c>
      <c r="N120" s="7" t="n">
        <v>0</v>
      </c>
      <c r="O120" s="8" t="inlineStr">
        <is>
          <t xml:space="preserve"> * صادرات شهرک لشگر</t>
        </is>
      </c>
      <c r="P120" s="7" t="n">
        <v>1110</v>
      </c>
      <c r="Q120" s="7" t="n">
        <v>605</v>
      </c>
      <c r="R120" s="8" t="inlineStr">
        <is>
          <t>اقاي ضيافتي</t>
        </is>
      </c>
      <c r="S120" s="7" t="n">
        <v>14050506</v>
      </c>
      <c r="T120" s="7" t="b">
        <v>0</v>
      </c>
      <c r="U120" s="8" t="inlineStr">
        <is>
          <t>جمع 483,325,000,000</t>
        </is>
      </c>
      <c r="V120" s="7" t="n"/>
      <c r="W120" s="7" t="inlineStr">
        <is>
          <t>دريافتي</t>
        </is>
      </c>
      <c r="X120" s="7" t="n">
        <v>0</v>
      </c>
    </row>
    <row r="121">
      <c r="A121" s="11" t="n">
        <v>1105</v>
      </c>
      <c r="B121" s="49" t="inlineStr">
        <is>
          <t>284938</t>
        </is>
      </c>
      <c r="C121" s="11" t="inlineStr">
        <is>
          <t>c</t>
        </is>
      </c>
      <c r="D121" s="11" t="n">
        <v>3</v>
      </c>
      <c r="E121" s="11" t="n">
        <v>3083</v>
      </c>
      <c r="F121" s="11" t="n">
        <v>150061</v>
      </c>
      <c r="G121" s="11" t="n">
        <v>1405015</v>
      </c>
      <c r="H121" s="11" t="n">
        <v>14050115</v>
      </c>
      <c r="I121" s="11" t="n">
        <v>0</v>
      </c>
      <c r="J121" s="11" t="n">
        <v>1001</v>
      </c>
      <c r="K121" s="11" t="n">
        <v>14051025</v>
      </c>
      <c r="L121" s="14" t="n">
        <v>2200000000</v>
      </c>
      <c r="M121" s="12" t="inlineStr">
        <is>
          <t>9108040018207053-ريحانه روضه خوان-اسکندري</t>
        </is>
      </c>
      <c r="N121" s="11" t="n">
        <v>0</v>
      </c>
      <c r="O121" s="12" t="inlineStr">
        <is>
          <t xml:space="preserve"> * بانک ملي ب سازمان آب 8554</t>
        </is>
      </c>
      <c r="P121" s="11" t="n">
        <v>1110</v>
      </c>
      <c r="Q121" s="11" t="n">
        <v>605</v>
      </c>
      <c r="R121" s="12" t="inlineStr">
        <is>
          <t>اقاي ضيافتي</t>
        </is>
      </c>
      <c r="S121" s="11" t="n">
        <v>14050115</v>
      </c>
      <c r="T121" s="11" t="b">
        <v>0</v>
      </c>
      <c r="U121" s="12" t="inlineStr">
        <is>
          <t>جمع 483,325,000,000</t>
        </is>
      </c>
      <c r="V121" s="11" t="n"/>
      <c r="W121" s="11" t="inlineStr">
        <is>
          <t>دريافتي</t>
        </is>
      </c>
      <c r="X121" s="11" t="n">
        <v>0</v>
      </c>
    </row>
    <row r="122">
      <c r="A122" s="7" t="n">
        <v>1105</v>
      </c>
      <c r="B122" s="52" t="inlineStr">
        <is>
          <t>300938</t>
        </is>
      </c>
      <c r="C122" s="7" t="inlineStr">
        <is>
          <t>c</t>
        </is>
      </c>
      <c r="D122" s="7" t="n">
        <v>3</v>
      </c>
      <c r="E122" s="7" t="n">
        <v>3175</v>
      </c>
      <c r="F122" s="7" t="n">
        <v>152865</v>
      </c>
      <c r="G122" s="7" t="n">
        <v>1405050</v>
      </c>
      <c r="H122" s="7" t="n">
        <v>14050219</v>
      </c>
      <c r="I122" s="7" t="n">
        <v>0</v>
      </c>
      <c r="J122" s="7" t="n">
        <v>1001</v>
      </c>
      <c r="K122" s="7" t="n">
        <v>14051025</v>
      </c>
      <c r="L122" s="13" t="n">
        <v>15200000000</v>
      </c>
      <c r="M122" s="8" t="inlineStr">
        <is>
          <t>5457040191134436</t>
        </is>
      </c>
      <c r="N122" s="7" t="n">
        <v>0</v>
      </c>
      <c r="O122" s="8" t="inlineStr">
        <is>
          <t xml:space="preserve"> * بانک ملي بيمارستان قايم</t>
        </is>
      </c>
      <c r="P122" s="7" t="n">
        <v>1110</v>
      </c>
      <c r="Q122" s="7" t="n">
        <v>605</v>
      </c>
      <c r="R122" s="8" t="inlineStr">
        <is>
          <t>اقاي ضيافتي</t>
        </is>
      </c>
      <c r="S122" s="7" t="n">
        <v>14050219</v>
      </c>
      <c r="T122" s="7" t="b">
        <v>0</v>
      </c>
      <c r="U122" s="8" t="inlineStr">
        <is>
          <t>جمع 483,325,000,000</t>
        </is>
      </c>
      <c r="V122" s="7" t="n"/>
      <c r="W122" s="7" t="inlineStr">
        <is>
          <t>دريافتي</t>
        </is>
      </c>
      <c r="X122" s="7" t="n">
        <v>0</v>
      </c>
    </row>
    <row r="123">
      <c r="A123" s="11" t="n">
        <v>1105</v>
      </c>
      <c r="B123" s="49" t="inlineStr">
        <is>
          <t>855069</t>
        </is>
      </c>
      <c r="C123" s="11" t="inlineStr">
        <is>
          <t>c</t>
        </is>
      </c>
      <c r="D123" s="11" t="n">
        <v>15</v>
      </c>
      <c r="E123" s="11" t="n">
        <v>3288</v>
      </c>
      <c r="F123" s="11" t="n">
        <v>156897</v>
      </c>
      <c r="G123" s="11" t="n">
        <v>1405106</v>
      </c>
      <c r="H123" s="11" t="n">
        <v>14050413</v>
      </c>
      <c r="I123" s="11" t="n">
        <v>0</v>
      </c>
      <c r="J123" s="11" t="n">
        <v>1001</v>
      </c>
      <c r="K123" s="11" t="n">
        <v>14051025</v>
      </c>
      <c r="L123" s="14" t="n">
        <v>5500000000</v>
      </c>
      <c r="M123" s="12" t="inlineStr">
        <is>
          <t>2797050004531115</t>
        </is>
      </c>
      <c r="N123" s="11" t="n">
        <v>0</v>
      </c>
      <c r="O123" s="12" t="inlineStr">
        <is>
          <t xml:space="preserve"> * ملت شيرازي</t>
        </is>
      </c>
      <c r="P123" s="11" t="n">
        <v>1110</v>
      </c>
      <c r="Q123" s="11" t="n">
        <v>605</v>
      </c>
      <c r="R123" s="12" t="inlineStr">
        <is>
          <t>اقاي ضيافتي</t>
        </is>
      </c>
      <c r="S123" s="11" t="n">
        <v>14050413</v>
      </c>
      <c r="T123" s="11" t="b">
        <v>0</v>
      </c>
      <c r="U123" s="12" t="inlineStr">
        <is>
          <t>جمع 483,325,000,000</t>
        </is>
      </c>
      <c r="V123" s="11" t="n"/>
      <c r="W123" s="11" t="inlineStr">
        <is>
          <t>دريافتي</t>
        </is>
      </c>
      <c r="X123" s="11" t="n">
        <v>0</v>
      </c>
    </row>
    <row r="124">
      <c r="A124" s="7" t="n">
        <v>1105</v>
      </c>
      <c r="B124" s="52" t="inlineStr">
        <is>
          <t>970088</t>
        </is>
      </c>
      <c r="C124" s="7" t="inlineStr">
        <is>
          <t>c</t>
        </is>
      </c>
      <c r="D124" s="7" t="n">
        <v>3</v>
      </c>
      <c r="E124" s="7" t="n">
        <v>2149</v>
      </c>
      <c r="F124" s="7" t="n">
        <v>111653</v>
      </c>
      <c r="G124" s="7" t="n">
        <v>1403281</v>
      </c>
      <c r="H124" s="7" t="n">
        <v>14031005</v>
      </c>
      <c r="I124" s="7" t="n">
        <v>0</v>
      </c>
      <c r="J124" s="7" t="n">
        <v>1001</v>
      </c>
      <c r="K124" s="7" t="n">
        <v>14051101</v>
      </c>
      <c r="L124" s="13" t="n">
        <v>5660000000</v>
      </c>
      <c r="M124" s="8" t="inlineStr">
        <is>
          <t>9569030099110174</t>
        </is>
      </c>
      <c r="N124" s="7" t="n">
        <v>0</v>
      </c>
      <c r="O124" s="8" t="inlineStr">
        <is>
          <t xml:space="preserve"> * بانک ملي کوي المهدي 8601</t>
        </is>
      </c>
      <c r="P124" s="7" t="n">
        <v>1110</v>
      </c>
      <c r="Q124" s="7" t="n">
        <v>689</v>
      </c>
      <c r="R124" s="8" t="inlineStr">
        <is>
          <t>ملک هاشميه</t>
        </is>
      </c>
      <c r="S124" s="7" t="n">
        <v>14031005</v>
      </c>
      <c r="T124" s="7" t="b">
        <v>0</v>
      </c>
      <c r="U124" s="8" t="inlineStr">
        <is>
          <t>جمع 483,325,000,000</t>
        </is>
      </c>
      <c r="V124" s="7" t="n">
        <v>0</v>
      </c>
      <c r="W124" s="7" t="inlineStr">
        <is>
          <t>دريافتي</t>
        </is>
      </c>
      <c r="X124" s="7" t="n">
        <v>0</v>
      </c>
    </row>
    <row r="125">
      <c r="A125" s="11" t="n">
        <v>1105</v>
      </c>
      <c r="B125" s="49" t="inlineStr">
        <is>
          <t>135603</t>
        </is>
      </c>
      <c r="C125" s="11" t="inlineStr">
        <is>
          <t>c</t>
        </is>
      </c>
      <c r="D125" s="11" t="n">
        <v>21</v>
      </c>
      <c r="E125" s="11" t="n">
        <v>3348</v>
      </c>
      <c r="F125" s="11" t="n">
        <v>159007</v>
      </c>
      <c r="G125" s="11" t="n">
        <v>1405135</v>
      </c>
      <c r="H125" s="11" t="n">
        <v>14050511</v>
      </c>
      <c r="I125" s="11" t="n">
        <v>0</v>
      </c>
      <c r="J125" s="11" t="n">
        <v>1001</v>
      </c>
      <c r="K125" s="11" t="n">
        <v>14051101</v>
      </c>
      <c r="L125" s="14" t="n">
        <v>1000000000</v>
      </c>
      <c r="M125" s="12" t="inlineStr">
        <is>
          <t>1114050019357733</t>
        </is>
      </c>
      <c r="N125" s="11" t="n">
        <v>0</v>
      </c>
      <c r="O125" s="12" t="inlineStr">
        <is>
          <t xml:space="preserve"> * قرض الحسنه رسالت بانکداري اجتماعي</t>
        </is>
      </c>
      <c r="P125" s="11" t="n">
        <v>1110</v>
      </c>
      <c r="Q125" s="11" t="n">
        <v>596</v>
      </c>
      <c r="R125" s="12" t="inlineStr">
        <is>
          <t>مرتضي پيروزيان</t>
        </is>
      </c>
      <c r="S125" s="11" t="n">
        <v>14050511</v>
      </c>
      <c r="T125" s="11" t="b">
        <v>0</v>
      </c>
      <c r="U125" s="12" t="inlineStr">
        <is>
          <t>جمع 483,325,000,000</t>
        </is>
      </c>
      <c r="V125" s="11" t="n"/>
      <c r="W125" s="11" t="inlineStr">
        <is>
          <t>دريافتي</t>
        </is>
      </c>
      <c r="X125" s="11" t="n">
        <v>0</v>
      </c>
    </row>
    <row r="126">
      <c r="A126" s="7" t="n">
        <v>1105</v>
      </c>
      <c r="B126" s="52" t="inlineStr">
        <is>
          <t>810236</t>
        </is>
      </c>
      <c r="C126" s="7" t="inlineStr">
        <is>
          <t>c</t>
        </is>
      </c>
      <c r="D126" s="7" t="n">
        <v>9</v>
      </c>
      <c r="E126" s="7" t="n">
        <v>3302</v>
      </c>
      <c r="F126" s="7" t="n">
        <v>157423</v>
      </c>
      <c r="G126" s="7" t="n">
        <v>1405114</v>
      </c>
      <c r="H126" s="7" t="n">
        <v>14050421</v>
      </c>
      <c r="I126" s="7" t="n">
        <v>0</v>
      </c>
      <c r="J126" s="7" t="n">
        <v>1001</v>
      </c>
      <c r="K126" s="7" t="n">
        <v>14051102</v>
      </c>
      <c r="L126" s="13" t="n">
        <v>2000000000</v>
      </c>
      <c r="M126" s="8" t="inlineStr">
        <is>
          <t>9379030010355255</t>
        </is>
      </c>
      <c r="N126" s="7" t="n">
        <v>0</v>
      </c>
      <c r="O126" s="8" t="inlineStr">
        <is>
          <t xml:space="preserve"> * صادرات صفاشم</t>
        </is>
      </c>
      <c r="P126" s="7" t="n">
        <v>1110</v>
      </c>
      <c r="Q126" s="7" t="n">
        <v>605</v>
      </c>
      <c r="R126" s="8" t="inlineStr">
        <is>
          <t>اقاي ضيافتي</t>
        </is>
      </c>
      <c r="S126" s="7" t="n">
        <v>14050421</v>
      </c>
      <c r="T126" s="7" t="b">
        <v>0</v>
      </c>
      <c r="U126" s="8" t="inlineStr">
        <is>
          <t>جمع 483,325,000,000</t>
        </is>
      </c>
      <c r="V126" s="7" t="n"/>
      <c r="W126" s="7" t="inlineStr">
        <is>
          <t>دريافتي</t>
        </is>
      </c>
      <c r="X126" s="7" t="n">
        <v>0</v>
      </c>
    </row>
    <row r="127">
      <c r="A127" s="11" t="n">
        <v>1105</v>
      </c>
      <c r="B127" s="49" t="inlineStr">
        <is>
          <t>239938</t>
        </is>
      </c>
      <c r="C127" s="11" t="inlineStr">
        <is>
          <t>c</t>
        </is>
      </c>
      <c r="D127" s="11" t="n">
        <v>12</v>
      </c>
      <c r="E127" s="11" t="n">
        <v>3323</v>
      </c>
      <c r="F127" s="11" t="n">
        <v>158309</v>
      </c>
      <c r="G127" s="11" t="n">
        <v>1405127</v>
      </c>
      <c r="H127" s="11" t="n">
        <v>14050503</v>
      </c>
      <c r="I127" s="11" t="n">
        <v>0</v>
      </c>
      <c r="J127" s="11" t="n">
        <v>1001</v>
      </c>
      <c r="K127" s="11" t="n">
        <v>14051103</v>
      </c>
      <c r="L127" s="14" t="n">
        <v>1000000000</v>
      </c>
      <c r="M127" s="12" t="inlineStr">
        <is>
          <t>4018040061560092</t>
        </is>
      </c>
      <c r="N127" s="11" t="n">
        <v>0</v>
      </c>
      <c r="O127" s="12" t="inlineStr">
        <is>
          <t xml:space="preserve"> * کشاورزي شريعتي</t>
        </is>
      </c>
      <c r="P127" s="11" t="n">
        <v>1110</v>
      </c>
      <c r="Q127" s="11" t="n">
        <v>605</v>
      </c>
      <c r="R127" s="12" t="inlineStr">
        <is>
          <t>اقاي ضيافتي</t>
        </is>
      </c>
      <c r="S127" s="11" t="n">
        <v>14050503</v>
      </c>
      <c r="T127" s="11" t="b">
        <v>0</v>
      </c>
      <c r="U127" s="12" t="inlineStr">
        <is>
          <t>جمع 483,325,000,000</t>
        </is>
      </c>
      <c r="V127" s="11" t="n"/>
      <c r="W127" s="11" t="inlineStr">
        <is>
          <t>دريافتي</t>
        </is>
      </c>
      <c r="X127" s="11" t="n">
        <v>0</v>
      </c>
    </row>
    <row r="128">
      <c r="A128" s="7" t="n">
        <v>1105</v>
      </c>
      <c r="B128" s="52" t="inlineStr">
        <is>
          <t>179687</t>
        </is>
      </c>
      <c r="C128" s="7" t="inlineStr">
        <is>
          <t>c</t>
        </is>
      </c>
      <c r="D128" s="7" t="n">
        <v>3</v>
      </c>
      <c r="E128" s="7" t="n">
        <v>2251</v>
      </c>
      <c r="F128" s="7" t="n">
        <v>116007</v>
      </c>
      <c r="G128" s="7" t="n">
        <v>1403337</v>
      </c>
      <c r="H128" s="7" t="n">
        <v>14031201</v>
      </c>
      <c r="I128" s="7" t="n">
        <v>0</v>
      </c>
      <c r="J128" s="7" t="n">
        <v>1001</v>
      </c>
      <c r="K128" s="7" t="n">
        <v>14051110</v>
      </c>
      <c r="L128" s="13" t="n">
        <v>1400000000</v>
      </c>
      <c r="M128" s="8" t="inlineStr">
        <is>
          <t>5783030115225521</t>
        </is>
      </c>
      <c r="N128" s="7" t="n">
        <v>0</v>
      </c>
      <c r="O128" s="8" t="inlineStr">
        <is>
          <t xml:space="preserve"> * بانک ملي کوي المهدي 8601</t>
        </is>
      </c>
      <c r="P128" s="7" t="n">
        <v>1110</v>
      </c>
      <c r="Q128" s="7" t="n">
        <v>605</v>
      </c>
      <c r="R128" s="8" t="inlineStr">
        <is>
          <t>اقاي ضيافتي</t>
        </is>
      </c>
      <c r="S128" s="7" t="n">
        <v>14031201</v>
      </c>
      <c r="T128" s="7" t="b">
        <v>0</v>
      </c>
      <c r="U128" s="8" t="inlineStr">
        <is>
          <t>جمع 483,325,000,000</t>
        </is>
      </c>
      <c r="V128" s="7" t="n">
        <v>0</v>
      </c>
      <c r="W128" s="7" t="inlineStr">
        <is>
          <t>دريافتي</t>
        </is>
      </c>
      <c r="X128" s="7" t="n">
        <v>0</v>
      </c>
    </row>
    <row r="129">
      <c r="A129" s="11" t="n">
        <v>1105</v>
      </c>
      <c r="B129" s="49" t="inlineStr">
        <is>
          <t>824577</t>
        </is>
      </c>
      <c r="C129" s="11" t="inlineStr">
        <is>
          <t>c</t>
        </is>
      </c>
      <c r="D129" s="11" t="n">
        <v>9</v>
      </c>
      <c r="E129" s="11" t="n">
        <v>2632</v>
      </c>
      <c r="F129" s="11" t="n">
        <v>131719</v>
      </c>
      <c r="G129" s="11" t="n">
        <v>1404175</v>
      </c>
      <c r="H129" s="11" t="n">
        <v>14040620</v>
      </c>
      <c r="I129" s="11" t="n">
        <v>0</v>
      </c>
      <c r="J129" s="11" t="n">
        <v>1001</v>
      </c>
      <c r="K129" s="11" t="n">
        <v>14051116</v>
      </c>
      <c r="L129" s="14" t="n">
        <v>2670000000</v>
      </c>
      <c r="M129" s="12" t="inlineStr">
        <is>
          <t>1668040056178994-چک04/08/16</t>
        </is>
      </c>
      <c r="N129" s="11" t="n">
        <v>0</v>
      </c>
      <c r="O129" s="12" t="inlineStr">
        <is>
          <t xml:space="preserve"> * صادرات سيدي</t>
        </is>
      </c>
      <c r="P129" s="11" t="n">
        <v>1110</v>
      </c>
      <c r="Q129" s="11" t="n">
        <v>605</v>
      </c>
      <c r="R129" s="12" t="inlineStr">
        <is>
          <t>اقاي ضيافتي</t>
        </is>
      </c>
      <c r="S129" s="11" t="n">
        <v>14040620</v>
      </c>
      <c r="T129" s="11" t="b">
        <v>0</v>
      </c>
      <c r="U129" s="12" t="inlineStr">
        <is>
          <t>جمع 483,325,000,000</t>
        </is>
      </c>
      <c r="V129" s="11" t="n">
        <v>0</v>
      </c>
      <c r="W129" s="11" t="inlineStr">
        <is>
          <t>دريافتي</t>
        </is>
      </c>
      <c r="X129" s="11" t="n">
        <v>0</v>
      </c>
    </row>
    <row r="130">
      <c r="A130" s="7" t="n">
        <v>1105</v>
      </c>
      <c r="B130" s="52" t="inlineStr">
        <is>
          <t>300939</t>
        </is>
      </c>
      <c r="C130" s="7" t="inlineStr">
        <is>
          <t>c</t>
        </is>
      </c>
      <c r="D130" s="7" t="n">
        <v>3</v>
      </c>
      <c r="E130" s="7" t="n">
        <v>3176</v>
      </c>
      <c r="F130" s="7" t="n">
        <v>152867</v>
      </c>
      <c r="G130" s="7" t="n">
        <v>1405050</v>
      </c>
      <c r="H130" s="7" t="n">
        <v>14050219</v>
      </c>
      <c r="I130" s="7" t="n">
        <v>0</v>
      </c>
      <c r="J130" s="7" t="n">
        <v>1001</v>
      </c>
      <c r="K130" s="7" t="n">
        <v>14051125</v>
      </c>
      <c r="L130" s="13" t="n">
        <v>15200000000</v>
      </c>
      <c r="M130" s="8" t="inlineStr">
        <is>
          <t>5203040191134437</t>
        </is>
      </c>
      <c r="N130" s="7" t="n">
        <v>0</v>
      </c>
      <c r="O130" s="8" t="inlineStr">
        <is>
          <t xml:space="preserve"> * بانک ملي بيمارستان قايم</t>
        </is>
      </c>
      <c r="P130" s="7" t="n">
        <v>1110</v>
      </c>
      <c r="Q130" s="7" t="n">
        <v>605</v>
      </c>
      <c r="R130" s="8" t="inlineStr">
        <is>
          <t>اقاي ضيافتي</t>
        </is>
      </c>
      <c r="S130" s="7" t="n">
        <v>14050219</v>
      </c>
      <c r="T130" s="7" t="b">
        <v>0</v>
      </c>
      <c r="U130" s="8" t="inlineStr">
        <is>
          <t>جمع 483,325,000,000</t>
        </is>
      </c>
      <c r="V130" s="7" t="n"/>
      <c r="W130" s="7" t="inlineStr">
        <is>
          <t>دريافتي</t>
        </is>
      </c>
      <c r="X130" s="7" t="n">
        <v>0</v>
      </c>
    </row>
    <row r="131">
      <c r="A131" s="11" t="n">
        <v>1105</v>
      </c>
      <c r="B131" s="49" t="inlineStr">
        <is>
          <t>855070</t>
        </is>
      </c>
      <c r="C131" s="11" t="inlineStr">
        <is>
          <t>c</t>
        </is>
      </c>
      <c r="D131" s="11" t="n">
        <v>15</v>
      </c>
      <c r="E131" s="11" t="n">
        <v>3287</v>
      </c>
      <c r="F131" s="11" t="n">
        <v>156895</v>
      </c>
      <c r="G131" s="11" t="n">
        <v>1405106</v>
      </c>
      <c r="H131" s="11" t="n">
        <v>14050413</v>
      </c>
      <c r="I131" s="11" t="n">
        <v>0</v>
      </c>
      <c r="J131" s="11" t="n">
        <v>1001</v>
      </c>
      <c r="K131" s="11" t="n">
        <v>14051125</v>
      </c>
      <c r="L131" s="14" t="n">
        <v>5500000000</v>
      </c>
      <c r="M131" s="12" t="inlineStr">
        <is>
          <t>7964050004531116</t>
        </is>
      </c>
      <c r="N131" s="11" t="n">
        <v>0</v>
      </c>
      <c r="O131" s="12" t="inlineStr">
        <is>
          <t xml:space="preserve"> * ملت شيرازي</t>
        </is>
      </c>
      <c r="P131" s="11" t="n">
        <v>1110</v>
      </c>
      <c r="Q131" s="11" t="n">
        <v>605</v>
      </c>
      <c r="R131" s="12" t="inlineStr">
        <is>
          <t>اقاي ضيافتي</t>
        </is>
      </c>
      <c r="S131" s="11" t="n">
        <v>14050413</v>
      </c>
      <c r="T131" s="11" t="b">
        <v>0</v>
      </c>
      <c r="U131" s="12" t="inlineStr">
        <is>
          <t>جمع 483,325,000,000</t>
        </is>
      </c>
      <c r="V131" s="11" t="n"/>
      <c r="W131" s="11" t="inlineStr">
        <is>
          <t>دريافتي</t>
        </is>
      </c>
      <c r="X131" s="11" t="n">
        <v>0</v>
      </c>
    </row>
    <row r="132">
      <c r="A132" s="7" t="n">
        <v>1105</v>
      </c>
      <c r="B132" s="52" t="inlineStr">
        <is>
          <t>239939</t>
        </is>
      </c>
      <c r="C132" s="7" t="inlineStr">
        <is>
          <t>c</t>
        </is>
      </c>
      <c r="D132" s="7" t="n">
        <v>12</v>
      </c>
      <c r="E132" s="7" t="n">
        <v>3324</v>
      </c>
      <c r="F132" s="7" t="n">
        <v>158311</v>
      </c>
      <c r="G132" s="7" t="n">
        <v>1405127</v>
      </c>
      <c r="H132" s="7" t="n">
        <v>14050503</v>
      </c>
      <c r="I132" s="7" t="n">
        <v>0</v>
      </c>
      <c r="J132" s="7" t="n">
        <v>1001</v>
      </c>
      <c r="K132" s="7" t="n">
        <v>14051203</v>
      </c>
      <c r="L132" s="13" t="n">
        <v>1000000000</v>
      </c>
      <c r="M132" s="8" t="inlineStr">
        <is>
          <t>3872040061560093</t>
        </is>
      </c>
      <c r="N132" s="7" t="n">
        <v>0</v>
      </c>
      <c r="O132" s="8" t="inlineStr">
        <is>
          <t xml:space="preserve"> * کشاورزي شريعتي</t>
        </is>
      </c>
      <c r="P132" s="7" t="n">
        <v>1110</v>
      </c>
      <c r="Q132" s="7" t="n">
        <v>605</v>
      </c>
      <c r="R132" s="8" t="inlineStr">
        <is>
          <t>اقاي ضيافتي</t>
        </is>
      </c>
      <c r="S132" s="7" t="n">
        <v>14050503</v>
      </c>
      <c r="T132" s="7" t="b">
        <v>0</v>
      </c>
      <c r="U132" s="8" t="inlineStr">
        <is>
          <t>جمع 483,325,000,000</t>
        </is>
      </c>
      <c r="V132" s="7" t="n"/>
      <c r="W132" s="7" t="inlineStr">
        <is>
          <t>دريافتي</t>
        </is>
      </c>
      <c r="X132" s="7" t="n">
        <v>0</v>
      </c>
    </row>
    <row r="133">
      <c r="A133" s="11" t="n">
        <v>1105</v>
      </c>
      <c r="B133" s="49" t="inlineStr">
        <is>
          <t>902059</t>
        </is>
      </c>
      <c r="C133" s="11" t="inlineStr">
        <is>
          <t>c</t>
        </is>
      </c>
      <c r="D133" s="11" t="n">
        <v>14</v>
      </c>
      <c r="E133" s="11" t="n">
        <v>3356</v>
      </c>
      <c r="F133" s="11" t="n">
        <v>159581</v>
      </c>
      <c r="G133" s="11" t="n">
        <v>1405143</v>
      </c>
      <c r="H133" s="11" t="n">
        <v>14050519</v>
      </c>
      <c r="I133" s="11" t="n">
        <v>0</v>
      </c>
      <c r="J133" s="11" t="n">
        <v>1001</v>
      </c>
      <c r="K133" s="11" t="n">
        <v>14051215</v>
      </c>
      <c r="L133" s="14" t="n">
        <v>17800000000</v>
      </c>
      <c r="M133" s="12" t="inlineStr">
        <is>
          <t>8940050044994059</t>
        </is>
      </c>
      <c r="N133" s="11" t="n">
        <v>0</v>
      </c>
      <c r="O133" s="12" t="inlineStr">
        <is>
          <t xml:space="preserve"> * سپه بلوار فرودگاه مشهد</t>
        </is>
      </c>
      <c r="P133" s="11" t="n">
        <v>1110</v>
      </c>
      <c r="Q133" s="11" t="n">
        <v>605</v>
      </c>
      <c r="R133" s="12" t="inlineStr">
        <is>
          <t>اقاي ضيافتي</t>
        </is>
      </c>
      <c r="S133" s="11" t="n">
        <v>14050519</v>
      </c>
      <c r="T133" s="11" t="b">
        <v>0</v>
      </c>
      <c r="U133" s="12" t="inlineStr">
        <is>
          <t>جمع 483,325,000,000</t>
        </is>
      </c>
      <c r="V133" s="11" t="n"/>
      <c r="W133" s="11" t="inlineStr">
        <is>
          <t>دريافتي</t>
        </is>
      </c>
      <c r="X133" s="11" t="n">
        <v>0</v>
      </c>
    </row>
    <row r="134">
      <c r="A134" s="7" t="n">
        <v>1105</v>
      </c>
      <c r="B134" s="52" t="inlineStr">
        <is>
          <t>300940</t>
        </is>
      </c>
      <c r="C134" s="7" t="inlineStr">
        <is>
          <t>c</t>
        </is>
      </c>
      <c r="D134" s="7" t="n">
        <v>3</v>
      </c>
      <c r="E134" s="7" t="n">
        <v>3177</v>
      </c>
      <c r="F134" s="7" t="n">
        <v>152869</v>
      </c>
      <c r="G134" s="7" t="n">
        <v>1405050</v>
      </c>
      <c r="H134" s="7" t="n">
        <v>14050219</v>
      </c>
      <c r="I134" s="7" t="n">
        <v>0</v>
      </c>
      <c r="J134" s="7" t="n">
        <v>1001</v>
      </c>
      <c r="K134" s="7" t="n">
        <v>14051225</v>
      </c>
      <c r="L134" s="13" t="n">
        <v>15200000000</v>
      </c>
      <c r="M134" s="8" t="inlineStr">
        <is>
          <t>1732040191134438</t>
        </is>
      </c>
      <c r="N134" s="7" t="n">
        <v>0</v>
      </c>
      <c r="O134" s="8" t="inlineStr">
        <is>
          <t xml:space="preserve"> * بانک ملي بيمارستان قايمم</t>
        </is>
      </c>
      <c r="P134" s="7" t="n">
        <v>1110</v>
      </c>
      <c r="Q134" s="7" t="n">
        <v>605</v>
      </c>
      <c r="R134" s="8" t="inlineStr">
        <is>
          <t>اقاي ضيافتي</t>
        </is>
      </c>
      <c r="S134" s="7" t="n">
        <v>14050219</v>
      </c>
      <c r="T134" s="7" t="b">
        <v>0</v>
      </c>
      <c r="U134" s="8" t="inlineStr">
        <is>
          <t>جمع 483,325,000,000</t>
        </is>
      </c>
      <c r="V134" s="7" t="n"/>
      <c r="W134" s="7" t="inlineStr">
        <is>
          <t>دريافتي</t>
        </is>
      </c>
      <c r="X134" s="7" t="n">
        <v>0</v>
      </c>
    </row>
    <row r="135">
      <c r="A135" s="11" t="n">
        <v>1105</v>
      </c>
      <c r="B135" s="49" t="inlineStr">
        <is>
          <t>810238</t>
        </is>
      </c>
      <c r="C135" s="11" t="inlineStr">
        <is>
          <t>c</t>
        </is>
      </c>
      <c r="D135" s="11" t="n">
        <v>9</v>
      </c>
      <c r="E135" s="11" t="n">
        <v>3304</v>
      </c>
      <c r="F135" s="11" t="n">
        <v>157427</v>
      </c>
      <c r="G135" s="11" t="n">
        <v>1405114</v>
      </c>
      <c r="H135" s="11" t="n">
        <v>14050421</v>
      </c>
      <c r="I135" s="11" t="n">
        <v>0</v>
      </c>
      <c r="J135" s="11" t="n">
        <v>1001</v>
      </c>
      <c r="K135" s="11" t="n">
        <v>14060102</v>
      </c>
      <c r="L135" s="14" t="n">
        <v>2000000000</v>
      </c>
      <c r="M135" s="12" t="inlineStr">
        <is>
          <t>6144030010355257</t>
        </is>
      </c>
      <c r="N135" s="11" t="n">
        <v>0</v>
      </c>
      <c r="O135" s="12" t="inlineStr">
        <is>
          <t xml:space="preserve"> * صادرات صفاشم</t>
        </is>
      </c>
      <c r="P135" s="11" t="n">
        <v>1110</v>
      </c>
      <c r="Q135" s="11" t="n">
        <v>605</v>
      </c>
      <c r="R135" s="12" t="inlineStr">
        <is>
          <t>اقاي ضيافتي</t>
        </is>
      </c>
      <c r="S135" s="11" t="n">
        <v>14050421</v>
      </c>
      <c r="T135" s="11" t="b">
        <v>0</v>
      </c>
      <c r="U135" s="12" t="inlineStr">
        <is>
          <t>جمع 483,325,000,000</t>
        </is>
      </c>
      <c r="V135" s="11" t="n"/>
      <c r="W135" s="11" t="inlineStr">
        <is>
          <t>دريافتي</t>
        </is>
      </c>
      <c r="X135" s="11" t="n">
        <v>0</v>
      </c>
    </row>
    <row r="136">
      <c r="A136" s="7" t="n">
        <v>1105</v>
      </c>
      <c r="B136" s="52" t="inlineStr">
        <is>
          <t>239940</t>
        </is>
      </c>
      <c r="C136" s="7" t="inlineStr">
        <is>
          <t>c</t>
        </is>
      </c>
      <c r="D136" s="7" t="n">
        <v>12</v>
      </c>
      <c r="E136" s="7" t="n">
        <v>3325</v>
      </c>
      <c r="F136" s="7" t="n">
        <v>158313</v>
      </c>
      <c r="G136" s="7" t="n">
        <v>1405127</v>
      </c>
      <c r="H136" s="7" t="n">
        <v>14050503</v>
      </c>
      <c r="I136" s="7" t="n">
        <v>0</v>
      </c>
      <c r="J136" s="7" t="n">
        <v>1001</v>
      </c>
      <c r="K136" s="7" t="n">
        <v>14060103</v>
      </c>
      <c r="L136" s="13" t="n">
        <v>1000000000</v>
      </c>
      <c r="M136" s="8" t="inlineStr">
        <is>
          <t>9179040061560094</t>
        </is>
      </c>
      <c r="N136" s="7" t="n">
        <v>0</v>
      </c>
      <c r="O136" s="8" t="inlineStr">
        <is>
          <t xml:space="preserve"> * کشاورزي شريعتي</t>
        </is>
      </c>
      <c r="P136" s="7" t="n">
        <v>1110</v>
      </c>
      <c r="Q136" s="7" t="n">
        <v>605</v>
      </c>
      <c r="R136" s="8" t="inlineStr">
        <is>
          <t>اقاي ضيافتي</t>
        </is>
      </c>
      <c r="S136" s="7" t="n">
        <v>14050503</v>
      </c>
      <c r="T136" s="7" t="b">
        <v>0</v>
      </c>
      <c r="U136" s="8" t="inlineStr">
        <is>
          <t>جمع 483,325,000,000</t>
        </is>
      </c>
      <c r="V136" s="7" t="n"/>
      <c r="W136" s="7" t="inlineStr">
        <is>
          <t>دريافتي</t>
        </is>
      </c>
      <c r="X136" s="7" t="n">
        <v>0</v>
      </c>
    </row>
    <row r="137">
      <c r="A137" s="11" t="n">
        <v>1105</v>
      </c>
      <c r="B137" s="49" t="inlineStr">
        <is>
          <t>179688</t>
        </is>
      </c>
      <c r="C137" s="11" t="inlineStr">
        <is>
          <t>c</t>
        </is>
      </c>
      <c r="D137" s="11" t="n">
        <v>3</v>
      </c>
      <c r="E137" s="11" t="n">
        <v>2252</v>
      </c>
      <c r="F137" s="11" t="n">
        <v>116009</v>
      </c>
      <c r="G137" s="11" t="n">
        <v>1403337</v>
      </c>
      <c r="H137" s="11" t="n">
        <v>14031201</v>
      </c>
      <c r="I137" s="11" t="n">
        <v>0</v>
      </c>
      <c r="J137" s="11" t="n">
        <v>1001</v>
      </c>
      <c r="K137" s="11" t="n">
        <v>14060110</v>
      </c>
      <c r="L137" s="14" t="n">
        <v>1400000000</v>
      </c>
      <c r="M137" s="12" t="inlineStr">
        <is>
          <t>5764030115225522</t>
        </is>
      </c>
      <c r="N137" s="11" t="n">
        <v>0</v>
      </c>
      <c r="O137" s="12" t="inlineStr">
        <is>
          <t xml:space="preserve"> * بانک ملي کوي المهدي 8601</t>
        </is>
      </c>
      <c r="P137" s="11" t="n">
        <v>1110</v>
      </c>
      <c r="Q137" s="11" t="n">
        <v>605</v>
      </c>
      <c r="R137" s="12" t="inlineStr">
        <is>
          <t>اقاي ضيافتي</t>
        </is>
      </c>
      <c r="S137" s="11" t="n">
        <v>14031201</v>
      </c>
      <c r="T137" s="11" t="b">
        <v>0</v>
      </c>
      <c r="U137" s="12" t="inlineStr">
        <is>
          <t>جمع 483,325,000,000</t>
        </is>
      </c>
      <c r="V137" s="11" t="n"/>
      <c r="W137" s="11" t="inlineStr">
        <is>
          <t>دريافتي</t>
        </is>
      </c>
      <c r="X137" s="11" t="n">
        <v>0</v>
      </c>
    </row>
    <row r="138">
      <c r="A138" s="7" t="n">
        <v>1105</v>
      </c>
      <c r="B138" s="52" t="inlineStr">
        <is>
          <t>810239</t>
        </is>
      </c>
      <c r="C138" s="7" t="inlineStr">
        <is>
          <t>c</t>
        </is>
      </c>
      <c r="D138" s="7" t="n">
        <v>9</v>
      </c>
      <c r="E138" s="7" t="n">
        <v>3305</v>
      </c>
      <c r="F138" s="7" t="n">
        <v>157429</v>
      </c>
      <c r="G138" s="7" t="n">
        <v>1405114</v>
      </c>
      <c r="H138" s="7" t="n">
        <v>14050421</v>
      </c>
      <c r="I138" s="7" t="n">
        <v>0</v>
      </c>
      <c r="J138" s="7" t="n">
        <v>1001</v>
      </c>
      <c r="K138" s="7" t="n">
        <v>14060202</v>
      </c>
      <c r="L138" s="13" t="n">
        <v>2000000000</v>
      </c>
      <c r="M138" s="8" t="inlineStr">
        <is>
          <t>3090030010355258</t>
        </is>
      </c>
      <c r="N138" s="7" t="n">
        <v>0</v>
      </c>
      <c r="O138" s="8" t="inlineStr">
        <is>
          <t xml:space="preserve"> * صادرات صفاشم</t>
        </is>
      </c>
      <c r="P138" s="7" t="n">
        <v>1110</v>
      </c>
      <c r="Q138" s="7" t="n">
        <v>605</v>
      </c>
      <c r="R138" s="8" t="inlineStr">
        <is>
          <t>اقاي ضيافتي</t>
        </is>
      </c>
      <c r="S138" s="7" t="n">
        <v>14050421</v>
      </c>
      <c r="T138" s="7" t="b">
        <v>0</v>
      </c>
      <c r="U138" s="8" t="inlineStr">
        <is>
          <t>جمع 483,325,000,000</t>
        </is>
      </c>
      <c r="V138" s="7" t="n"/>
      <c r="W138" s="7" t="inlineStr">
        <is>
          <t>دريافتي</t>
        </is>
      </c>
      <c r="X138" s="7" t="n">
        <v>0</v>
      </c>
    </row>
    <row r="139">
      <c r="A139" s="11" t="n">
        <v>1105</v>
      </c>
      <c r="B139" s="49" t="inlineStr">
        <is>
          <t>810240</t>
        </is>
      </c>
      <c r="C139" s="11" t="inlineStr">
        <is>
          <t>c</t>
        </is>
      </c>
      <c r="D139" s="11" t="n">
        <v>9</v>
      </c>
      <c r="E139" s="11" t="n">
        <v>3306</v>
      </c>
      <c r="F139" s="11" t="n">
        <v>157431</v>
      </c>
      <c r="G139" s="11" t="n">
        <v>1405114</v>
      </c>
      <c r="H139" s="11" t="n">
        <v>14050421</v>
      </c>
      <c r="I139" s="11" t="n">
        <v>0</v>
      </c>
      <c r="J139" s="11" t="n">
        <v>1001</v>
      </c>
      <c r="K139" s="11" t="n">
        <v>14060302</v>
      </c>
      <c r="L139" s="14" t="n">
        <v>2000000000</v>
      </c>
      <c r="M139" s="12" t="inlineStr">
        <is>
          <t>7644030010355259</t>
        </is>
      </c>
      <c r="N139" s="11" t="n">
        <v>0</v>
      </c>
      <c r="O139" s="12" t="inlineStr">
        <is>
          <t xml:space="preserve"> * صادرات صفاشم</t>
        </is>
      </c>
      <c r="P139" s="11" t="n">
        <v>1110</v>
      </c>
      <c r="Q139" s="11" t="n">
        <v>605</v>
      </c>
      <c r="R139" s="12" t="inlineStr">
        <is>
          <t>اقاي ضيافتي</t>
        </is>
      </c>
      <c r="S139" s="11" t="n">
        <v>14050421</v>
      </c>
      <c r="T139" s="11" t="b">
        <v>0</v>
      </c>
      <c r="U139" s="12" t="inlineStr">
        <is>
          <t>جمع 483,325,000,000</t>
        </is>
      </c>
      <c r="V139" s="11" t="n"/>
      <c r="W139" s="11" t="inlineStr">
        <is>
          <t>دريافتي</t>
        </is>
      </c>
      <c r="X139" s="11" t="n">
        <v>0</v>
      </c>
    </row>
    <row r="140">
      <c r="A140" s="7" t="n">
        <v>1105</v>
      </c>
      <c r="B140" s="52" t="inlineStr">
        <is>
          <t>810241</t>
        </is>
      </c>
      <c r="C140" s="7" t="inlineStr">
        <is>
          <t>c</t>
        </is>
      </c>
      <c r="D140" s="7" t="n">
        <v>9</v>
      </c>
      <c r="E140" s="7" t="n">
        <v>3307</v>
      </c>
      <c r="F140" s="7" t="n">
        <v>157433</v>
      </c>
      <c r="G140" s="7" t="n">
        <v>1405114</v>
      </c>
      <c r="H140" s="7" t="n">
        <v>14050421</v>
      </c>
      <c r="I140" s="7" t="n">
        <v>0</v>
      </c>
      <c r="J140" s="7" t="n">
        <v>1001</v>
      </c>
      <c r="K140" s="7" t="n">
        <v>14060402</v>
      </c>
      <c r="L140" s="13" t="n">
        <v>2000000000</v>
      </c>
      <c r="M140" s="8" t="inlineStr">
        <is>
          <t>7525030010355260</t>
        </is>
      </c>
      <c r="N140" s="7" t="n">
        <v>0</v>
      </c>
      <c r="O140" s="8" t="inlineStr">
        <is>
          <t xml:space="preserve"> * صادرات صفاشم</t>
        </is>
      </c>
      <c r="P140" s="7" t="n">
        <v>1110</v>
      </c>
      <c r="Q140" s="7" t="n">
        <v>605</v>
      </c>
      <c r="R140" s="8" t="inlineStr">
        <is>
          <t>اقاي ضيافتي</t>
        </is>
      </c>
      <c r="S140" s="7" t="n">
        <v>14050421</v>
      </c>
      <c r="T140" s="7" t="b">
        <v>0</v>
      </c>
      <c r="U140" s="8" t="inlineStr">
        <is>
          <t>جمع 483,325,000,000</t>
        </is>
      </c>
      <c r="V140" s="7" t="n"/>
      <c r="W140" s="7" t="inlineStr">
        <is>
          <t>دريافتي</t>
        </is>
      </c>
      <c r="X140" s="7" t="n">
        <v>0</v>
      </c>
    </row>
    <row r="141">
      <c r="A141" s="11" t="n">
        <v>1105</v>
      </c>
      <c r="B141" s="49" t="inlineStr">
        <is>
          <t>810242</t>
        </is>
      </c>
      <c r="C141" s="11" t="inlineStr">
        <is>
          <t>c</t>
        </is>
      </c>
      <c r="D141" s="11" t="n">
        <v>9</v>
      </c>
      <c r="E141" s="11" t="n">
        <v>3308</v>
      </c>
      <c r="F141" s="11" t="n">
        <v>157435</v>
      </c>
      <c r="G141" s="11" t="n">
        <v>1405114</v>
      </c>
      <c r="H141" s="11" t="n">
        <v>14050421</v>
      </c>
      <c r="I141" s="11" t="n">
        <v>0</v>
      </c>
      <c r="J141" s="11" t="n">
        <v>1001</v>
      </c>
      <c r="K141" s="11" t="n">
        <v>14060502</v>
      </c>
      <c r="L141" s="14" t="n">
        <v>2000000000</v>
      </c>
      <c r="M141" s="12" t="inlineStr">
        <is>
          <t>9793030010355261</t>
        </is>
      </c>
      <c r="N141" s="11" t="n">
        <v>0</v>
      </c>
      <c r="O141" s="12" t="inlineStr">
        <is>
          <t xml:space="preserve"> * صادرات صفاشم</t>
        </is>
      </c>
      <c r="P141" s="11" t="n">
        <v>1110</v>
      </c>
      <c r="Q141" s="11" t="n">
        <v>605</v>
      </c>
      <c r="R141" s="12" t="inlineStr">
        <is>
          <t>اقاي ضيافتي</t>
        </is>
      </c>
      <c r="S141" s="11" t="n">
        <v>14050421</v>
      </c>
      <c r="T141" s="11" t="b">
        <v>0</v>
      </c>
      <c r="U141" s="12" t="inlineStr">
        <is>
          <t>جمع 483,325,000,000</t>
        </is>
      </c>
      <c r="V141" s="11" t="n"/>
      <c r="W141" s="11" t="inlineStr">
        <is>
          <t>دريافتي</t>
        </is>
      </c>
      <c r="X141" s="11" t="n">
        <v>0</v>
      </c>
    </row>
    <row r="142">
      <c r="A142" s="7" t="n">
        <v>1105</v>
      </c>
      <c r="B142" s="52" t="inlineStr">
        <is>
          <t>02563329</t>
        </is>
      </c>
      <c r="C142" s="7" t="inlineStr">
        <is>
          <t>c</t>
        </is>
      </c>
      <c r="D142" s="7" t="n">
        <v>15</v>
      </c>
      <c r="E142" s="7" t="n">
        <v>2913</v>
      </c>
      <c r="F142" s="7" t="n">
        <v>142741</v>
      </c>
      <c r="G142" s="7" t="n">
        <v>1404268</v>
      </c>
      <c r="H142" s="7" t="n">
        <v>14040922</v>
      </c>
      <c r="I142" s="7" t="n">
        <v>0</v>
      </c>
      <c r="J142" s="7" t="n">
        <v>1001</v>
      </c>
      <c r="K142" s="7" t="n">
        <v>14060505</v>
      </c>
      <c r="L142" s="13" t="n">
        <v>3100000000</v>
      </c>
      <c r="M142" s="8" t="inlineStr">
        <is>
          <t>7553040121559293</t>
        </is>
      </c>
      <c r="N142" s="7" t="n">
        <v>0</v>
      </c>
      <c r="O142" s="8" t="inlineStr">
        <is>
          <t xml:space="preserve"> * ملت گلشهر</t>
        </is>
      </c>
      <c r="P142" s="7" t="n">
        <v>1110</v>
      </c>
      <c r="Q142" s="7" t="n">
        <v>605</v>
      </c>
      <c r="R142" s="8" t="inlineStr">
        <is>
          <t>اقاي ضيافتي</t>
        </is>
      </c>
      <c r="S142" s="7" t="n">
        <v>14040922</v>
      </c>
      <c r="T142" s="7" t="b">
        <v>0</v>
      </c>
      <c r="U142" s="8" t="inlineStr">
        <is>
          <t>جمع 483,325,000,000</t>
        </is>
      </c>
      <c r="V142" s="7" t="n"/>
      <c r="W142" s="7" t="inlineStr">
        <is>
          <t>دريافتي</t>
        </is>
      </c>
      <c r="X142" s="7" t="n">
        <v>0</v>
      </c>
    </row>
    <row r="143">
      <c r="A143" s="11" t="n">
        <v>1105</v>
      </c>
      <c r="B143" s="49" t="inlineStr">
        <is>
          <t>849748</t>
        </is>
      </c>
      <c r="C143" s="11" t="inlineStr">
        <is>
          <t>c</t>
        </is>
      </c>
      <c r="D143" s="11" t="n">
        <v>25</v>
      </c>
      <c r="E143" s="11" t="n">
        <v>3268</v>
      </c>
      <c r="F143" s="11" t="n">
        <v>155223</v>
      </c>
      <c r="G143" s="11" t="n">
        <v>1405081</v>
      </c>
      <c r="H143" s="11" t="n">
        <v>14050319</v>
      </c>
      <c r="I143" s="11" t="n">
        <v>0</v>
      </c>
      <c r="J143" s="11" t="n">
        <v>1001</v>
      </c>
      <c r="K143" s="11" t="n">
        <v>14060525</v>
      </c>
      <c r="L143" s="14" t="n">
        <v>2190000000</v>
      </c>
      <c r="M143" s="12" t="inlineStr">
        <is>
          <t>1161040201829557</t>
        </is>
      </c>
      <c r="N143" s="11" t="n">
        <v>0</v>
      </c>
      <c r="O143" s="12" t="inlineStr">
        <is>
          <t xml:space="preserve"> * مسکن وکيل اباد</t>
        </is>
      </c>
      <c r="P143" s="11" t="n">
        <v>1110</v>
      </c>
      <c r="Q143" s="11" t="n">
        <v>605</v>
      </c>
      <c r="R143" s="12" t="inlineStr">
        <is>
          <t>اقاي ضيافتي</t>
        </is>
      </c>
      <c r="S143" s="11" t="n">
        <v>14050319</v>
      </c>
      <c r="T143" s="11" t="b">
        <v>0</v>
      </c>
      <c r="U143" s="12" t="inlineStr">
        <is>
          <t>جمع 483,325,000,000</t>
        </is>
      </c>
      <c r="V143" s="11" t="n"/>
      <c r="W143" s="11" t="inlineStr">
        <is>
          <t>دريافتي</t>
        </is>
      </c>
      <c r="X143" s="11" t="n">
        <v>0</v>
      </c>
    </row>
    <row r="144">
      <c r="A144" s="7" t="n">
        <v>1105</v>
      </c>
      <c r="B144" s="52" t="inlineStr">
        <is>
          <t>810243</t>
        </is>
      </c>
      <c r="C144" s="7" t="inlineStr">
        <is>
          <t>c</t>
        </is>
      </c>
      <c r="D144" s="7" t="n">
        <v>9</v>
      </c>
      <c r="E144" s="7" t="n">
        <v>3309</v>
      </c>
      <c r="F144" s="7" t="n">
        <v>157437</v>
      </c>
      <c r="G144" s="7" t="n">
        <v>1405114</v>
      </c>
      <c r="H144" s="7" t="n">
        <v>14050421</v>
      </c>
      <c r="I144" s="7" t="n">
        <v>0</v>
      </c>
      <c r="J144" s="7" t="n">
        <v>1001</v>
      </c>
      <c r="K144" s="7" t="n">
        <v>14060602</v>
      </c>
      <c r="L144" s="13" t="n">
        <v>2000000000</v>
      </c>
      <c r="M144" s="8" t="inlineStr">
        <is>
          <t>6392030010355262</t>
        </is>
      </c>
      <c r="N144" s="7" t="n">
        <v>0</v>
      </c>
      <c r="O144" s="8" t="inlineStr">
        <is>
          <t xml:space="preserve"> * صادرات صفاشم</t>
        </is>
      </c>
      <c r="P144" s="7" t="n">
        <v>1110</v>
      </c>
      <c r="Q144" s="7" t="n">
        <v>605</v>
      </c>
      <c r="R144" s="8" t="inlineStr">
        <is>
          <t>اقاي ضيافتي</t>
        </is>
      </c>
      <c r="S144" s="7" t="n">
        <v>14050421</v>
      </c>
      <c r="T144" s="7" t="b">
        <v>0</v>
      </c>
      <c r="U144" s="8" t="inlineStr">
        <is>
          <t>جمع 483,325,000,000</t>
        </is>
      </c>
      <c r="V144" s="7" t="n"/>
      <c r="W144" s="7" t="inlineStr">
        <is>
          <t>دريافتي</t>
        </is>
      </c>
      <c r="X144" s="7" t="n">
        <v>0</v>
      </c>
    </row>
    <row r="145">
      <c r="A145" s="11" t="n">
        <v>1105</v>
      </c>
      <c r="B145" s="49" t="inlineStr">
        <is>
          <t>02563415</t>
        </is>
      </c>
      <c r="C145" s="11" t="inlineStr">
        <is>
          <t>c</t>
        </is>
      </c>
      <c r="D145" s="11" t="n">
        <v>15</v>
      </c>
      <c r="E145" s="11" t="n">
        <v>2914</v>
      </c>
      <c r="F145" s="11" t="n">
        <v>142743</v>
      </c>
      <c r="G145" s="11" t="n">
        <v>1404268</v>
      </c>
      <c r="H145" s="11" t="n">
        <v>14040922</v>
      </c>
      <c r="I145" s="11" t="n">
        <v>0</v>
      </c>
      <c r="J145" s="11" t="n">
        <v>1001</v>
      </c>
      <c r="K145" s="11" t="n">
        <v>14060605</v>
      </c>
      <c r="L145" s="14" t="n">
        <v>3100000000</v>
      </c>
      <c r="M145" s="12" t="inlineStr">
        <is>
          <t>1850040121559294</t>
        </is>
      </c>
      <c r="N145" s="11" t="n">
        <v>0</v>
      </c>
      <c r="O145" s="12" t="inlineStr">
        <is>
          <t xml:space="preserve"> * ملت گلشهر</t>
        </is>
      </c>
      <c r="P145" s="11" t="n">
        <v>1110</v>
      </c>
      <c r="Q145" s="11" t="n">
        <v>605</v>
      </c>
      <c r="R145" s="12" t="inlineStr">
        <is>
          <t>اقاي ضيافتي</t>
        </is>
      </c>
      <c r="S145" s="11" t="n">
        <v>14040922</v>
      </c>
      <c r="T145" s="11" t="b">
        <v>0</v>
      </c>
      <c r="U145" s="12" t="inlineStr">
        <is>
          <t>جمع 483,325,000,000</t>
        </is>
      </c>
      <c r="V145" s="11" t="n"/>
      <c r="W145" s="11" t="inlineStr">
        <is>
          <t>دريافتي</t>
        </is>
      </c>
      <c r="X145" s="11" t="n">
        <v>0</v>
      </c>
    </row>
    <row r="146">
      <c r="A146" s="7" t="n">
        <v>1105</v>
      </c>
      <c r="B146" s="52" t="inlineStr">
        <is>
          <t>849749</t>
        </is>
      </c>
      <c r="C146" s="7" t="inlineStr">
        <is>
          <t>c</t>
        </is>
      </c>
      <c r="D146" s="7" t="n">
        <v>25</v>
      </c>
      <c r="E146" s="7" t="n">
        <v>3269</v>
      </c>
      <c r="F146" s="7" t="n">
        <v>155225</v>
      </c>
      <c r="G146" s="7" t="n">
        <v>1405081</v>
      </c>
      <c r="H146" s="7" t="n">
        <v>14050319</v>
      </c>
      <c r="I146" s="7" t="n">
        <v>0</v>
      </c>
      <c r="J146" s="7" t="n">
        <v>1001</v>
      </c>
      <c r="K146" s="7" t="n">
        <v>14060625</v>
      </c>
      <c r="L146" s="13" t="n">
        <v>2190000000</v>
      </c>
      <c r="M146" s="8" t="inlineStr">
        <is>
          <t>5621040201829539</t>
        </is>
      </c>
      <c r="N146" s="7" t="n">
        <v>0</v>
      </c>
      <c r="O146" s="8" t="inlineStr">
        <is>
          <t xml:space="preserve"> * مسکن وکيل اباد</t>
        </is>
      </c>
      <c r="P146" s="7" t="n">
        <v>1110</v>
      </c>
      <c r="Q146" s="7" t="n">
        <v>605</v>
      </c>
      <c r="R146" s="8" t="inlineStr">
        <is>
          <t>اقاي ضيافتي</t>
        </is>
      </c>
      <c r="S146" s="7" t="n">
        <v>14050319</v>
      </c>
      <c r="T146" s="7" t="b">
        <v>0</v>
      </c>
      <c r="U146" s="8" t="inlineStr">
        <is>
          <t>جمع 483,325,000,000</t>
        </is>
      </c>
      <c r="V146" s="7" t="n"/>
      <c r="W146" s="7" t="inlineStr">
        <is>
          <t>دريافتي</t>
        </is>
      </c>
      <c r="X146" s="7" t="n">
        <v>0</v>
      </c>
    </row>
    <row r="147">
      <c r="A147" s="11" t="n">
        <v>1105</v>
      </c>
      <c r="B147" s="49" t="inlineStr">
        <is>
          <t>02563552</t>
        </is>
      </c>
      <c r="C147" s="11" t="inlineStr">
        <is>
          <t>c</t>
        </is>
      </c>
      <c r="D147" s="11" t="n">
        <v>15</v>
      </c>
      <c r="E147" s="11" t="n">
        <v>2915</v>
      </c>
      <c r="F147" s="11" t="n">
        <v>142745</v>
      </c>
      <c r="G147" s="11" t="n">
        <v>1404268</v>
      </c>
      <c r="H147" s="11" t="n">
        <v>14040922</v>
      </c>
      <c r="I147" s="11" t="n">
        <v>0</v>
      </c>
      <c r="J147" s="11" t="n">
        <v>1001</v>
      </c>
      <c r="K147" s="11" t="n">
        <v>14060705</v>
      </c>
      <c r="L147" s="14" t="n">
        <v>3100000000</v>
      </c>
      <c r="M147" s="12" t="inlineStr">
        <is>
          <t>6331040121559295</t>
        </is>
      </c>
      <c r="N147" s="11" t="n">
        <v>0</v>
      </c>
      <c r="O147" s="12" t="inlineStr">
        <is>
          <t xml:space="preserve"> * ملت گلشهر</t>
        </is>
      </c>
      <c r="P147" s="11" t="n">
        <v>1110</v>
      </c>
      <c r="Q147" s="11" t="n">
        <v>605</v>
      </c>
      <c r="R147" s="12" t="inlineStr">
        <is>
          <t>اقاي ضيافتي</t>
        </is>
      </c>
      <c r="S147" s="11" t="n">
        <v>14040922</v>
      </c>
      <c r="T147" s="11" t="b">
        <v>0</v>
      </c>
      <c r="U147" s="12" t="inlineStr">
        <is>
          <t>جمع 483,325,000,000</t>
        </is>
      </c>
      <c r="V147" s="11" t="n"/>
      <c r="W147" s="11" t="inlineStr">
        <is>
          <t>دريافتي</t>
        </is>
      </c>
      <c r="X147" s="11" t="n">
        <v>0</v>
      </c>
    </row>
    <row r="148">
      <c r="A148" s="7" t="n">
        <v>1105</v>
      </c>
      <c r="B148" s="52" t="inlineStr">
        <is>
          <t>189768</t>
        </is>
      </c>
      <c r="C148" s="7" t="inlineStr">
        <is>
          <t>c</t>
        </is>
      </c>
      <c r="D148" s="7" t="n">
        <v>3</v>
      </c>
      <c r="E148" s="7" t="n">
        <v>2916</v>
      </c>
      <c r="F148" s="7" t="n">
        <v>142747</v>
      </c>
      <c r="G148" s="7" t="n">
        <v>1404268</v>
      </c>
      <c r="H148" s="7" t="n">
        <v>14040922</v>
      </c>
      <c r="I148" s="7" t="n">
        <v>0</v>
      </c>
      <c r="J148" s="7" t="n">
        <v>1001</v>
      </c>
      <c r="K148" s="7" t="n">
        <v>14060805</v>
      </c>
      <c r="L148" s="13" t="n">
        <v>3100000000</v>
      </c>
      <c r="M148" s="8" t="inlineStr">
        <is>
          <t>1120040121634563</t>
        </is>
      </c>
      <c r="N148" s="7" t="n">
        <v>0</v>
      </c>
      <c r="O148" s="8" t="inlineStr">
        <is>
          <t xml:space="preserve"> * بانک ملي کوي المهدي</t>
        </is>
      </c>
      <c r="P148" s="7" t="n">
        <v>1110</v>
      </c>
      <c r="Q148" s="7" t="n">
        <v>605</v>
      </c>
      <c r="R148" s="8" t="inlineStr">
        <is>
          <t>اقاي ضيافتي</t>
        </is>
      </c>
      <c r="S148" s="7" t="n">
        <v>14040922</v>
      </c>
      <c r="T148" s="7" t="b">
        <v>0</v>
      </c>
      <c r="U148" s="8" t="inlineStr">
        <is>
          <t>جمع 483,325,000,000</t>
        </is>
      </c>
      <c r="V148" s="7" t="n"/>
      <c r="W148" s="7" t="inlineStr">
        <is>
          <t>دريافتي</t>
        </is>
      </c>
      <c r="X148" s="7" t="n">
        <v>0</v>
      </c>
    </row>
    <row r="149">
      <c r="A149" s="55" t="inlineStr">
        <is>
          <t>مجموع کل</t>
        </is>
      </c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6" t="n"/>
      <c r="L149" s="46">
        <f>SUM(L2:L148)</f>
        <v/>
      </c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C2626"/>
    <outlinePr summaryBelow="1" summaryRight="1"/>
    <pageSetUpPr/>
  </sheetPr>
  <dimension ref="A1:J48"/>
  <sheetViews>
    <sheetView rightToLeft="1" workbookViewId="0">
      <selection activeCell="A1" sqref="A1"/>
    </sheetView>
  </sheetViews>
  <sheetFormatPr baseColWidth="8" defaultRowHeight="15"/>
  <cols>
    <col width="65" customWidth="1" min="1" max="1"/>
    <col width="55" customWidth="1" min="2" max="2"/>
    <col width="55" customWidth="1" min="3" max="3"/>
    <col width="60" customWidth="1" min="4" max="4"/>
    <col width="24" customWidth="1" min="5" max="5"/>
    <col width="19" customWidth="1" min="6" max="6"/>
    <col width="23" customWidth="1" min="7" max="7"/>
    <col width="65" customWidth="1" min="8" max="8"/>
    <col width="65" customWidth="1" min="9" max="9"/>
    <col width="62" customWidth="1" min="10" max="10"/>
  </cols>
  <sheetData>
    <row r="1">
      <c r="A1" s="1" t="inlineStr">
        <is>
          <t>گزارش ممیزی تفکیک هویتی، حل تعارضات کدملی و اسناد معاف (Identity Resolution &amp; Audit Report)</t>
        </is>
      </c>
    </row>
    <row r="2">
      <c r="A2" s="2" t="inlineStr">
        <is>
          <t>حل تعارض کدملی 0933387075 (تفکیک حسین حشمتی از امیرحسین علیپور) | تفکیک پرونده هویت حل‌نشده (۲۲۰ میلیون ریال) | تفکیک ۲ سند معاف از صیاد (۳.۴۰۰ میلیارد ریال) | مجموع اسناد تفکیکی: ۳.۶۲۰ میلیارد ریال</t>
        </is>
      </c>
    </row>
    <row r="3"/>
    <row r="4">
      <c r="A4" s="3" t="inlineStr">
        <is>
          <t>۱. ممیزی تفکیک هویتی کدملی متعارض ۰۹۳۳۳۸۷۰۷۵ (حسین حشمتی در برابر امیرحسین علیپور)</t>
        </is>
      </c>
    </row>
    <row r="5">
      <c r="A5" s="19" t="inlineStr">
        <is>
          <t>مشخصه هویتی / سندی</t>
        </is>
      </c>
      <c r="B5" s="19" t="inlineStr">
        <is>
          <t>پرونده ۱: حسین حشمتی (چک صیادی بانکی)</t>
        </is>
      </c>
      <c r="C5" s="19" t="inlineStr">
        <is>
          <t>پرونده ۲: امیرحسین علیپور (سفته ضمانتی)</t>
        </is>
      </c>
      <c r="D5" s="19" t="inlineStr">
        <is>
          <t>ارزیابی انطباق سامانه‌ای و علت عدم ادغام</t>
        </is>
      </c>
    </row>
    <row r="6">
      <c r="A6" s="5" t="inlineStr">
        <is>
          <t>شناسه مشتری در صندوق</t>
        </is>
      </c>
      <c r="B6" s="7" t="inlineStr">
        <is>
          <t>کد مشتری ۲</t>
        </is>
      </c>
      <c r="C6" s="7" t="inlineStr">
        <is>
          <t>کد مشتری ۱</t>
        </is>
      </c>
      <c r="D6" s="8" t="inlineStr">
        <is>
          <t>تفکیک به ۲ پروفایل مستقل با شناسه‌های یکتا</t>
        </is>
      </c>
    </row>
    <row r="7">
      <c r="A7" s="9" t="inlineStr">
        <is>
          <t>کد ملی ثبتی اولیه</t>
        </is>
      </c>
      <c r="B7" s="11" t="inlineStr">
        <is>
          <t>0933387075 (متن با صفر اول)</t>
        </is>
      </c>
      <c r="C7" s="11" t="inlineStr">
        <is>
          <t>0933387075 (متن با صفر اول)</t>
        </is>
      </c>
      <c r="D7" s="12" t="inlineStr">
        <is>
          <t>تشابه کدملی اولیه ناشی از خطای ورود داده در سیستم مالی</t>
        </is>
      </c>
    </row>
    <row r="8">
      <c r="A8" s="5" t="inlineStr">
        <is>
          <t>نوع سند در صندوق</t>
        </is>
      </c>
      <c r="B8" s="7" t="inlineStr">
        <is>
          <t>چک بانکی صیادی رسمی</t>
        </is>
      </c>
      <c r="C8" s="7" t="inlineStr">
        <is>
          <t>سفته ضمانتی حسن انجام تعهدات</t>
        </is>
      </c>
      <c r="D8" s="8" t="inlineStr">
        <is>
          <t>سفته فاقد صیاد است و نباید مشمول استعلام صیاد شود</t>
        </is>
      </c>
    </row>
    <row r="9">
      <c r="A9" s="9" t="inlineStr">
        <is>
          <t>شماره سریال سند</t>
        </is>
      </c>
      <c r="B9" s="11" t="inlineStr">
        <is>
          <t>۰۵۷۷۵۱</t>
        </is>
      </c>
      <c r="C9" s="11" t="inlineStr">
        <is>
          <t>۱۱۱۳۳۳۳</t>
        </is>
      </c>
      <c r="D9" s="12" t="inlineStr">
        <is>
          <t>شماره‌های کاملاً مجزا در دفاتر ثبت</t>
        </is>
      </c>
    </row>
    <row r="10">
      <c r="A10" s="5" t="inlineStr">
        <is>
          <t>شناسه ۱۶ رقمی صیاد</t>
        </is>
      </c>
      <c r="B10" s="7" t="inlineStr">
        <is>
          <t>2380030072556088</t>
        </is>
      </c>
      <c r="C10" s="7" t="inlineStr">
        <is>
          <t>فاقد شناسه صیاد (معاف)</t>
        </is>
      </c>
      <c r="D10" s="8" t="inlineStr">
        <is>
          <t>استعلام صیادی صاحب حساب را منحصراً حسین حشمتی تایید کرد</t>
        </is>
      </c>
    </row>
    <row r="11">
      <c r="A11" s="9" t="inlineStr">
        <is>
          <t>نام بانک و شعبه</t>
        </is>
      </c>
      <c r="B11" s="11" t="inlineStr">
        <is>
          <t>بانک ایران زمین مفتح مشهد</t>
        </is>
      </c>
      <c r="C11" s="11" t="inlineStr">
        <is>
          <t>* قر سفته</t>
        </is>
      </c>
      <c r="D11" s="12" t="inlineStr">
        <is>
          <t>عدم انتساب سفته به بانک تجاری رسمی</t>
        </is>
      </c>
    </row>
    <row r="12">
      <c r="A12" s="5" t="inlineStr">
        <is>
          <t>مبلغ تعهد نزد صندوق</t>
        </is>
      </c>
      <c r="B12" s="7" t="inlineStr">
        <is>
          <t>۱,۰۶۰,۰۰۰,۰۰۰ ریال</t>
        </is>
      </c>
      <c r="C12" s="7" t="inlineStr">
        <is>
          <t>۲,۰۰۰,۰۰۰,۰۰۰ ریال</t>
        </is>
      </c>
      <c r="D12" s="8" t="inlineStr">
        <is>
          <t>تعهدات کاملاً تفکیک‌شده و ثبت مستقل در صندوق</t>
        </is>
      </c>
    </row>
    <row r="13">
      <c r="A13" s="9" t="inlineStr">
        <is>
          <t>مبلغ برگشتی بانکی صادرکننده</t>
        </is>
      </c>
      <c r="B13" s="60" t="inlineStr">
        <is>
          <t>۵۶,۹۶۰,۰۰۰,۰۰۰ ریال (مشمول کف ۸۵)</t>
        </is>
      </c>
      <c r="C13" s="11" t="inlineStr">
        <is>
          <t>۰ ریال (معاف از استعلام صیادی)</t>
        </is>
      </c>
      <c r="D13" s="12" t="inlineStr">
        <is>
          <t>جلوگیری از سرریز بدهی ۵۶.۹۶B حشمتی به پرونده علیپور</t>
        </is>
      </c>
    </row>
    <row r="14">
      <c r="A14" s="5" t="inlineStr">
        <is>
          <t>طبقه ریسک اعتباری سامانه</t>
        </is>
      </c>
      <c r="B14" s="60" t="inlineStr">
        <is>
          <t>اقدام فوری (امتیاز ۸۵.۰)</t>
        </is>
      </c>
      <c r="C14" s="7" t="inlineStr">
        <is>
          <t>معاف از استعلام صیادی</t>
        </is>
      </c>
      <c r="D14" s="8" t="inlineStr">
        <is>
          <t>تصمیم اعتباری کاملاً مستقل بر اساس واقعیت اسناد</t>
        </is>
      </c>
    </row>
    <row r="15"/>
    <row r="16"/>
    <row r="17">
      <c r="A17" s="3" t="inlineStr">
        <is>
          <t>۲. فهرست پرونده‌های با وضعیت هویت حل‌نشده (UNRESOLVED_IDENTITY) - ۱ سند (۲۲۰,۰۰۰,۰۰۰ ریال)</t>
        </is>
      </c>
    </row>
    <row r="18">
      <c r="A18" s="19" t="inlineStr">
        <is>
          <t>ردیف</t>
        </is>
      </c>
      <c r="B18" s="19" t="inlineStr">
        <is>
          <t>کد مشتری</t>
        </is>
      </c>
      <c r="C18" s="19" t="inlineStr">
        <is>
          <t>نام صادرکننده در صندوق</t>
        </is>
      </c>
      <c r="D18" s="19" t="inlineStr">
        <is>
          <t>وضعیت کدملی ورودی</t>
        </is>
      </c>
      <c r="E18" s="19" t="inlineStr">
        <is>
          <t>ردیف/شناسه صیاد منشأ</t>
        </is>
      </c>
      <c r="F18" s="19" t="inlineStr">
        <is>
          <t>شماره چک</t>
        </is>
      </c>
      <c r="G18" s="19" t="inlineStr">
        <is>
          <t>نام بانک</t>
        </is>
      </c>
      <c r="H18" s="19" t="inlineStr">
        <is>
          <t>مبلغ تعهد صندوق (ریال)</t>
        </is>
      </c>
      <c r="I18" s="19" t="inlineStr">
        <is>
          <t>علت عدم تایید هویت</t>
        </is>
      </c>
      <c r="J18" s="19" t="inlineStr">
        <is>
          <t>اقدام اصلاحی و حقوقی</t>
        </is>
      </c>
    </row>
    <row r="19">
      <c r="A19" s="11" t="n">
        <v>1</v>
      </c>
      <c r="B19" s="11" t="n">
        <v>29</v>
      </c>
      <c r="C19" s="12" t="inlineStr">
        <is>
          <t>داوود رنگرززاده</t>
        </is>
      </c>
      <c r="D19" s="11" t="inlineStr">
        <is>
          <t>فاقد کد ملی ثبتی</t>
        </is>
      </c>
      <c r="E19" s="11" t="inlineStr">
        <is>
          <t>چک ۳۲ سریال ۴۱۵۵۶۹</t>
        </is>
      </c>
      <c r="F19" s="11" t="inlineStr">
        <is>
          <t>415569</t>
        </is>
      </c>
      <c r="G19" s="11" t="inlineStr">
        <is>
          <t>بانک ملی</t>
        </is>
      </c>
      <c r="H19" s="14" t="n">
        <v>220000000</v>
      </c>
      <c r="I19" s="12" t="inlineStr">
        <is>
          <t>عدم ثبت کد ملی صادرکننده در سیستم حسابداری</t>
        </is>
      </c>
      <c r="J19" s="12" t="inlineStr">
        <is>
          <t>استعلام شماره حساب از بانک ملی و اخذ کدملی معتبر صادرکننده</t>
        </is>
      </c>
    </row>
    <row r="20">
      <c r="A20" s="55" t="inlineStr">
        <is>
          <t>مجموع</t>
        </is>
      </c>
      <c r="B20" s="56" t="n"/>
      <c r="C20" s="56" t="n"/>
      <c r="D20" s="56" t="n"/>
      <c r="E20" s="56" t="n"/>
      <c r="F20" s="56" t="n"/>
      <c r="G20" s="56" t="n"/>
      <c r="H20" s="46" t="n">
        <v>220000000</v>
      </c>
      <c r="I20" s="59" t="inlineStr">
        <is>
          <t>مجموع اسناد با هویت حل‌نشده</t>
        </is>
      </c>
      <c r="J20" s="56" t="n"/>
    </row>
    <row r="21"/>
    <row r="22"/>
    <row r="23">
      <c r="A23" s="3" t="inlineStr">
        <is>
          <t>۳. فهرست اسناد ضمانتی معاف از استعلام صیادی (EXEMPT Documents) - ۲ سند (۳,۴۰۰,۰۰۰,۰۰۰ ریال)</t>
        </is>
      </c>
    </row>
    <row r="24">
      <c r="A24" s="19" t="inlineStr">
        <is>
          <t>ردیف</t>
        </is>
      </c>
      <c r="B24" s="19" t="inlineStr">
        <is>
          <t>کد مشتری</t>
        </is>
      </c>
      <c r="C24" s="19" t="inlineStr">
        <is>
          <t>نام صادرکننده / متعهد</t>
        </is>
      </c>
      <c r="D24" s="19" t="inlineStr">
        <is>
          <t>نوع سند</t>
        </is>
      </c>
      <c r="E24" s="19" t="inlineStr">
        <is>
          <t>ردیف/شناسه صیاد منشأ</t>
        </is>
      </c>
      <c r="F24" s="19" t="inlineStr">
        <is>
          <t>شماره سریال سند</t>
        </is>
      </c>
      <c r="G24" s="19" t="inlineStr">
        <is>
          <t>نام بانک / سرفصل</t>
        </is>
      </c>
      <c r="H24" s="19" t="inlineStr">
        <is>
          <t>مبلغ تعهد صندوق (ریال)</t>
        </is>
      </c>
      <c r="I24" s="19" t="inlineStr">
        <is>
          <t>علت معافیت نظارتی</t>
        </is>
      </c>
      <c r="J24" s="19" t="inlineStr">
        <is>
          <t>وضعیت وصولی و سررسید</t>
        </is>
      </c>
    </row>
    <row r="25">
      <c r="A25" s="11" t="n">
        <v>1</v>
      </c>
      <c r="B25" s="11" t="n">
        <v>1</v>
      </c>
      <c r="C25" s="12" t="inlineStr">
        <is>
          <t>امیرحسین علیپور</t>
        </is>
      </c>
      <c r="D25" s="11" t="inlineStr">
        <is>
          <t>سفته حسن انجام</t>
        </is>
      </c>
      <c r="E25" s="11" t="inlineStr">
        <is>
          <t>سفته ۱۱۱۳۳۳۳</t>
        </is>
      </c>
      <c r="F25" s="11" t="inlineStr">
        <is>
          <t>1113333</t>
        </is>
      </c>
      <c r="G25" s="11" t="inlineStr">
        <is>
          <t>* قر سفته</t>
        </is>
      </c>
      <c r="H25" s="14" t="n">
        <v>2000000000</v>
      </c>
      <c r="I25" s="12" t="inlineStr">
        <is>
          <t>سفته ضمانتی فاقد شناسه صیادی ۱۶ رقمی</t>
        </is>
      </c>
      <c r="J25" s="12" t="inlineStr">
        <is>
          <t>معاف از استعلام صیادی؛ وصول مستقیم حقوقی</t>
        </is>
      </c>
    </row>
    <row r="26">
      <c r="A26" s="7" t="n">
        <v>2</v>
      </c>
      <c r="B26" s="7" t="n">
        <v>16</v>
      </c>
      <c r="C26" s="8" t="inlineStr">
        <is>
          <t>احمد زحمتکش باجگیران</t>
        </is>
      </c>
      <c r="D26" s="7" t="inlineStr">
        <is>
          <t>چک ضمانتی معاف</t>
        </is>
      </c>
      <c r="E26" s="7" t="inlineStr">
        <is>
          <t>چک ۱۷ صیاد ۶۶۶۶۶</t>
        </is>
      </c>
      <c r="F26" s="7" t="inlineStr">
        <is>
          <t>66666</t>
        </is>
      </c>
      <c r="G26" s="7" t="inlineStr">
        <is>
          <t>بانک ملی کوی المهدی</t>
        </is>
      </c>
      <c r="H26" s="13" t="n">
        <v>1400000000</v>
      </c>
      <c r="I26" s="8" t="inlineStr">
        <is>
          <t>چک ضمانتی فاقد شناسه صیادی رسمی</t>
        </is>
      </c>
      <c r="J26" s="8" t="inlineStr">
        <is>
          <t>معاف از استعلام صیادی؛ تعهد نزد صندوق</t>
        </is>
      </c>
    </row>
    <row r="27">
      <c r="A27" s="55" t="inlineStr">
        <is>
          <t>مجموع</t>
        </is>
      </c>
      <c r="B27" s="56" t="n"/>
      <c r="C27" s="56" t="n"/>
      <c r="D27" s="56" t="n"/>
      <c r="E27" s="56" t="n"/>
      <c r="F27" s="56" t="n"/>
      <c r="G27" s="56" t="n"/>
      <c r="H27" s="46" t="n">
        <v>3400000000</v>
      </c>
      <c r="I27" s="59" t="inlineStr">
        <is>
          <t>مجموع اسناد معاف از استعلام صیاد</t>
        </is>
      </c>
      <c r="J27" s="56" t="n"/>
    </row>
    <row r="28"/>
    <row r="29">
      <c r="A29" s="77" t="inlineStr">
        <is>
          <t>مجموع کل تفکیکی</t>
        </is>
      </c>
      <c r="B29" s="56" t="n"/>
      <c r="C29" s="56" t="n"/>
      <c r="D29" s="56" t="n"/>
      <c r="E29" s="56" t="n"/>
      <c r="F29" s="56" t="n"/>
      <c r="G29" s="56" t="n"/>
      <c r="H29" s="46" t="n">
        <v>3620000000</v>
      </c>
      <c r="I29" s="59" t="inlineStr">
        <is>
          <t>تفاضل تعهدات صندوق با پروفایل‌های معتبر (۴۸۳.۳۲۵B - ۴۷۹.۷۰۵B)</t>
        </is>
      </c>
      <c r="J29" s="56" t="n"/>
    </row>
    <row r="30"/>
    <row r="31"/>
    <row r="32">
      <c r="A32" s="3" t="inlineStr">
        <is>
          <t>۴. جدول تفکیک قطعی و رفع تعارض دو فقره چک ۱.۴ میلیارد ریالی احمد زحمتکش (چک معاف ۶۶۶۶۶ در برابر چک صیادی ۱۷۹۶۸۷)</t>
        </is>
      </c>
    </row>
    <row r="33">
      <c r="A33" s="19" t="inlineStr">
        <is>
          <t>مشخصه کنترلی سند</t>
        </is>
      </c>
      <c r="B33" s="19" t="inlineStr">
        <is>
          <t>سند ۱: چک تمدید معاف از استعلام صیادی (شیت ۰۸)</t>
        </is>
      </c>
      <c r="C33" s="19" t="inlineStr">
        <is>
          <t>سند ۲: چک صیادی بانکی معتبر نزد صندوق (شیت ۰۲ و ۰۷)</t>
        </is>
      </c>
      <c r="D33" s="19" t="inlineStr">
        <is>
          <t>ارزیابی ممیزی و عدم جابه‌جایی سریال‌ها</t>
        </is>
      </c>
    </row>
    <row r="34">
      <c r="A34" s="5" t="inlineStr">
        <is>
          <t>شماره سریال در سیستم حسابداری</t>
        </is>
      </c>
      <c r="B34" s="7" t="inlineStr">
        <is>
          <t>66666 (ثبت دستی)</t>
        </is>
      </c>
      <c r="C34" s="7" t="inlineStr">
        <is>
          <t>179687 (سری صیاد ۲۶۴۰)</t>
        </is>
      </c>
      <c r="D34" s="8" t="inlineStr">
        <is>
          <t>سریال‌های کاملاً مستقل و متمایز در دفاتر صندوق</t>
        </is>
      </c>
    </row>
    <row r="35">
      <c r="A35" s="9" t="inlineStr">
        <is>
          <t>شناسه ۱۶ رقمی صیاد</t>
        </is>
      </c>
      <c r="B35" s="11" t="inlineStr">
        <is>
          <t>فاقد شناسه صیاد (سند تمدیدی/معاف)</t>
        </is>
      </c>
      <c r="C35" s="10" t="inlineStr">
        <is>
          <t>5783030115225521</t>
        </is>
      </c>
      <c r="D35" s="12" t="inlineStr">
        <is>
          <t>چک ۱۷۹۶۸۷ استعلام سیستمی شده و دارای سابقه صیادی است</t>
        </is>
      </c>
    </row>
    <row r="36">
      <c r="A36" s="5" t="inlineStr">
        <is>
          <t>شرح سند در دفاتر مالی</t>
        </is>
      </c>
      <c r="B36" s="7" t="inlineStr">
        <is>
          <t>چک تمدید احمد زحمتکش</t>
        </is>
      </c>
      <c r="C36" s="7" t="inlineStr">
        <is>
          <t>چک صیادی قرارداد فروش</t>
        </is>
      </c>
      <c r="D36" s="8" t="inlineStr">
        <is>
          <t>شرح و منشأ حسابداری دو سند کاملاً مجزاست</t>
        </is>
      </c>
    </row>
    <row r="37">
      <c r="A37" s="9" t="inlineStr">
        <is>
          <t>مبلغ ریالی سند</t>
        </is>
      </c>
      <c r="B37" s="11" t="inlineStr">
        <is>
          <t>۱,۴۰۰,۰۰۰,۰۰۰ ریال</t>
        </is>
      </c>
      <c r="C37" s="11" t="inlineStr">
        <is>
          <t>۱,۴۰۰,۰۰۰,۰۰۰ ریال</t>
        </is>
      </c>
      <c r="D37" s="12" t="inlineStr">
        <is>
          <t>مبالغ مساوی اما اسناد فیزیکی مستقل هستند</t>
        </is>
      </c>
    </row>
    <row r="38">
      <c r="A38" s="5" t="inlineStr">
        <is>
          <t>نام بانک و شعبه</t>
        </is>
      </c>
      <c r="B38" s="7" t="inlineStr">
        <is>
          <t>بانک ملی کوی المهدی</t>
        </is>
      </c>
      <c r="C38" s="7" t="inlineStr">
        <is>
          <t>بانک ملی کوی المهدی (کد ۲۶۴۰)</t>
        </is>
      </c>
      <c r="D38" s="8" t="inlineStr">
        <is>
          <t>حساب‌های جاری صادرکننده در همان شعبه</t>
        </is>
      </c>
    </row>
    <row r="39">
      <c r="A39" s="9" t="inlineStr">
        <is>
          <t>وضعیت در محاسبات اعتباری</t>
        </is>
      </c>
      <c r="B39" s="11" t="inlineStr">
        <is>
          <t>معاف از استعلام صیادی (EXEMPT)</t>
        </is>
      </c>
      <c r="C39" s="11" t="inlineStr">
        <is>
          <t>چک معتبر بانکی دارای استعلام (VALID)</t>
        </is>
      </c>
      <c r="D39" s="12" t="inlineStr">
        <is>
          <t>چک صیادی در پروفایل بانکی زحمتکش منظور شده است</t>
        </is>
      </c>
    </row>
    <row r="40">
      <c r="A40" s="5" t="inlineStr">
        <is>
          <t>جایگاه در ممیزی سبد</t>
        </is>
      </c>
      <c r="B40" s="7" t="inlineStr">
        <is>
          <t>جزو ۳.۶۲۰ میلیارد ریال اسناد تفکیکی خارج از پروفایل</t>
        </is>
      </c>
      <c r="C40" s="7" t="inlineStr">
        <is>
          <t>جزو ۴.۲ میلیارد ریال (۳ فقره چک) زحمتکش در شیت ۰۲</t>
        </is>
      </c>
      <c r="D40" s="8" t="inlineStr">
        <is>
          <t>چک‌های صیادی زحمتکش: ۱۷۹۶۸۶ + ۱۷۹۶۸۷ + ۱۷۹۶۸۸ = ۴.۲B</t>
        </is>
      </c>
    </row>
    <row r="41">
      <c r="A41" s="9" t="inlineStr">
        <is>
          <t>شمول در جمع ۴۷۹.۷۰۵B معتبر</t>
        </is>
      </c>
      <c r="B41" s="11" t="inlineStr">
        <is>
          <t>خیر (مستثنی در شیت ۰۸)</t>
        </is>
      </c>
      <c r="C41" s="10" t="inlineStr">
        <is>
          <t>بله (منظور در جمع ۴۷۹.۷۰۵B صندوق)</t>
        </is>
      </c>
      <c r="D41" s="12" t="inlineStr">
        <is>
          <t>تطابق کامل با ارقام مرجع و عدم دوباره‌شماری یا جابه‌جایی</t>
        </is>
      </c>
    </row>
    <row r="42"/>
    <row r="43">
      <c r="A43" s="3" t="inlineStr">
        <is>
          <t>۵. جدول تفکیک قطعی مغایرت ۳.۶۲۰ میلیارد ریال صندوق (کل اسناد ۴۸۳.۳۲۵B در برابر معتبر ۴۷۹.۷۰۵B)</t>
        </is>
      </c>
    </row>
    <row r="44">
      <c r="A44" s="19" t="inlineStr">
        <is>
          <t>ردیف</t>
        </is>
      </c>
      <c r="B44" s="19" t="inlineStr">
        <is>
          <t>کد مشتری</t>
        </is>
      </c>
      <c r="C44" s="19" t="inlineStr">
        <is>
          <t>نام صادرکننده / متعهد</t>
        </is>
      </c>
      <c r="D44" s="19" t="inlineStr">
        <is>
          <t>نوع سند در صندوق</t>
        </is>
      </c>
      <c r="E44" s="19" t="inlineStr">
        <is>
          <t>شماره سریال سند</t>
        </is>
      </c>
      <c r="F44" s="19" t="inlineStr">
        <is>
          <t>شناسه صیاد منشأ</t>
        </is>
      </c>
      <c r="G44" s="19" t="inlineStr">
        <is>
          <t>مبلغ سند (ریال)</t>
        </is>
      </c>
      <c r="H44" s="19" t="inlineStr">
        <is>
          <t>علت تفکیک از پروفایل معتبر</t>
        </is>
      </c>
      <c r="I44" s="19" t="inlineStr">
        <is>
          <t>وضعیت در جمع ۴۷۹.۷۰۵B</t>
        </is>
      </c>
      <c r="J44" s="19" t="inlineStr">
        <is>
          <t>مستند کنترلی ممیزی</t>
        </is>
      </c>
    </row>
    <row r="45">
      <c r="A45" s="11" t="n">
        <v>1</v>
      </c>
      <c r="B45" s="11" t="n">
        <v>1</v>
      </c>
      <c r="C45" s="12" t="inlineStr">
        <is>
          <t>امیرحسین علیپور</t>
        </is>
      </c>
      <c r="D45" s="12" t="inlineStr">
        <is>
          <t>سفته حسن انجام تعهدات</t>
        </is>
      </c>
      <c r="E45" s="11" t="inlineStr">
        <is>
          <t>1113333</t>
        </is>
      </c>
      <c r="F45" s="11" t="inlineStr">
        <is>
          <t>فاقد شناسه صیاد</t>
        </is>
      </c>
      <c r="G45" s="14" t="n">
        <v>2000000000</v>
      </c>
      <c r="H45" s="12" t="inlineStr">
        <is>
          <t>سند معاف از استعلام صیادی؛ تعهد مستقیم ضمانتی</t>
        </is>
      </c>
      <c r="I45" s="11" t="inlineStr">
        <is>
          <t>خارج از پروفایل‌های صیادی</t>
        </is>
      </c>
      <c r="J45" s="12" t="inlineStr">
        <is>
          <t>انطباق با بند R1 و AUD-08</t>
        </is>
      </c>
    </row>
    <row r="46">
      <c r="A46" s="7" t="n">
        <v>2</v>
      </c>
      <c r="B46" s="7" t="n">
        <v>16</v>
      </c>
      <c r="C46" s="8" t="inlineStr">
        <is>
          <t>احمد زحمتکش باجگیران</t>
        </is>
      </c>
      <c r="D46" s="8" t="inlineStr">
        <is>
          <t>چک تمدید ضمانتی</t>
        </is>
      </c>
      <c r="E46" s="7" t="inlineStr">
        <is>
          <t>66666</t>
        </is>
      </c>
      <c r="F46" s="7" t="inlineStr">
        <is>
          <t>فاقد شناسه صیاد</t>
        </is>
      </c>
      <c r="G46" s="13" t="n">
        <v>1400000000</v>
      </c>
      <c r="H46" s="8" t="inlineStr">
        <is>
          <t>چک دستی تمدیدی بدون کد صیاد؛ معاف از استعلام صیاد</t>
        </is>
      </c>
      <c r="I46" s="7" t="inlineStr">
        <is>
          <t>خارج از پروفایل‌های صیادی</t>
        </is>
      </c>
      <c r="J46" s="8" t="inlineStr">
        <is>
          <t>انطباق با بند R1 و AUD-08</t>
        </is>
      </c>
    </row>
    <row r="47">
      <c r="A47" s="11" t="n">
        <v>3</v>
      </c>
      <c r="B47" s="11" t="n">
        <v>29</v>
      </c>
      <c r="C47" s="12" t="inlineStr">
        <is>
          <t>داوود رنگرززاده</t>
        </is>
      </c>
      <c r="D47" s="12" t="inlineStr">
        <is>
          <t>چک بانکی فاقد کدملی</t>
        </is>
      </c>
      <c r="E47" s="11" t="inlineStr">
        <is>
          <t>415569</t>
        </is>
      </c>
      <c r="F47" s="11" t="inlineStr">
        <is>
          <t>چک ۳۲</t>
        </is>
      </c>
      <c r="G47" s="14" t="n">
        <v>220000000</v>
      </c>
      <c r="H47" s="12" t="inlineStr">
        <is>
          <t>هویت حل‌نشده به دلیل عدم ثبت کدملی در سیستم صندوق</t>
        </is>
      </c>
      <c r="I47" s="11" t="inlineStr">
        <is>
          <t>خارج از پروفایل‌های صیادی</t>
        </is>
      </c>
      <c r="J47" s="12" t="inlineStr">
        <is>
          <t>انطباق با بند R1 و AUD-13</t>
        </is>
      </c>
    </row>
    <row r="48">
      <c r="A48" s="77" t="inlineStr">
        <is>
          <t>مجموع مغایرت</t>
        </is>
      </c>
      <c r="B48" s="56" t="n"/>
      <c r="C48" s="56" t="n"/>
      <c r="D48" s="56" t="n"/>
      <c r="E48" s="56" t="n"/>
      <c r="F48" s="56" t="n"/>
      <c r="G48" s="46">
        <f>SUM(G45:G47)</f>
        <v/>
      </c>
      <c r="H48" s="59" t="inlineStr">
        <is>
          <t>دقیقاً برابر با ۳,۶۲۰,۰۰۰,۰۰۰ ریال تفاضل صندوق با پروفایل‌های معتبر</t>
        </is>
      </c>
      <c r="I48" s="56" t="n"/>
      <c r="J48" s="56" t="n"/>
    </row>
  </sheetData>
  <mergeCells count="7">
    <mergeCell ref="A1:J1"/>
    <mergeCell ref="A23:J23"/>
    <mergeCell ref="A32:J32"/>
    <mergeCell ref="A17:J17"/>
    <mergeCell ref="A4:J4"/>
    <mergeCell ref="A43:J43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D9488"/>
    <outlinePr summaryBelow="1" summaryRight="1"/>
    <pageSetUpPr/>
  </sheetPr>
  <dimension ref="A1:I27"/>
  <sheetViews>
    <sheetView rightToLeft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  <col width="65" customWidth="1" min="4" max="4"/>
    <col width="65" customWidth="1" min="5" max="5"/>
    <col width="48" customWidth="1" min="6" max="6"/>
    <col width="29" customWidth="1" min="7" max="7"/>
    <col width="26" customWidth="1" min="8" max="8"/>
    <col width="47" customWidth="1" min="9" max="9"/>
  </cols>
  <sheetData>
    <row r="1">
      <c r="A1" s="1" t="inlineStr">
        <is>
          <t>سیستم ممیزی مستقل چندبعدی و اعتبارسنجی انطباق داده‌ها (Dual-Audit Engine)</t>
        </is>
      </c>
    </row>
    <row r="2">
      <c r="A2" s="78" t="inlineStr">
        <is>
          <t>۱۹ آزمون کنترلی خودکار اکسل بر اساس معیارهای نظارتی، رفتاری و هویتی ۱۴۰۵/۰۶/۱۵ | خروجی فرمولی خودکار: PASS / FAIL</t>
        </is>
      </c>
    </row>
    <row r="3"/>
    <row r="4">
      <c r="A4" s="79" t="inlineStr">
        <is>
          <t>وضعیت کل سیستم ممیزی:
تایید کامل (PASS 19/19)</t>
        </is>
      </c>
      <c r="C4" s="80" t="inlineStr">
        <is>
          <t>تعداد کل آزمون‌ها: 19 آزمون
آزمون‌های موفق: 19 | آزمون‌های ردشده: ۰</t>
        </is>
      </c>
      <c r="E4" s="81" t="inlineStr">
        <is>
          <t>بیانیه الزامی ممیزی:
«ممیزی مشتری‌محور، هویتی، تاریخی و رفتاری انجام شد؛ 46 پروفایل معتبر، 13 مشتری دارای برگشتی فعال، Duplicate صفر، جمع برگشتی 244,751,000,000 ریال و تمام شاخص‌های Persistence بر اساس Snapshot یکتای هر مشتری/تاریخ محاسبه شده‌اند.»</t>
        </is>
      </c>
    </row>
    <row r="5"/>
    <row r="6"/>
    <row r="7">
      <c r="A7" s="4" t="inlineStr">
        <is>
          <t>ردیف</t>
        </is>
      </c>
      <c r="B7" s="4" t="inlineStr">
        <is>
          <t>شناسه آزمون</t>
        </is>
      </c>
      <c r="C7" s="4" t="inlineStr">
        <is>
          <t>عنوان آزمون کنترلی</t>
        </is>
      </c>
      <c r="D7" s="4" t="inlineStr">
        <is>
          <t>شرح و هدف آزمون</t>
        </is>
      </c>
      <c r="E7" s="4" t="inlineStr">
        <is>
          <t>محدوده و شیت هدف</t>
        </is>
      </c>
      <c r="F7" s="4" t="inlineStr">
        <is>
          <t>مقدار مورد انتظار</t>
        </is>
      </c>
      <c r="G7" s="4" t="inlineStr">
        <is>
          <t>فرمول ارزیابی خودکار اکسل</t>
        </is>
      </c>
      <c r="H7" s="4" t="inlineStr">
        <is>
          <t>نتیجه فرمولی (Formula)</t>
        </is>
      </c>
      <c r="I7" s="4" t="inlineStr">
        <is>
          <t>معیار پذیرش</t>
        </is>
      </c>
    </row>
    <row r="8">
      <c r="A8" s="82" t="n">
        <v>1</v>
      </c>
      <c r="B8" s="82" t="inlineStr">
        <is>
          <t>AUD-01</t>
        </is>
      </c>
      <c r="C8" s="83" t="inlineStr">
        <is>
          <t>صحت تجمیع پروفایل‌های بانکی معتبر (عدم تکرار)</t>
        </is>
      </c>
      <c r="D8" s="83" t="inlineStr">
        <is>
          <t>تعداد ردیف‌های مشتریان دارای پروفایل بانکی صیادی معتبر در جدول اصلی دقیقاً برابر با ۴۶ پروفایل یکتا است.</t>
        </is>
      </c>
      <c r="E8" s="83" t="inlineStr">
        <is>
          <t>02_مشتریان_یکتا (B4:B49)</t>
        </is>
      </c>
      <c r="F8" s="83" t="inlineStr">
        <is>
          <t>۴۶ پروفایل بانکی معتبر</t>
        </is>
      </c>
      <c r="G8" s="84">
        <f>IF(COUNTA('02_مشتریان_یکتا'!B4:B49)=46, "PASS", "FAIL")</f>
        <v/>
      </c>
      <c r="H8" s="85">
        <f>IF(COUNTA('02_مشتریان_یکتا'!B4:B49)=46, "PASS", "FAIL")</f>
        <v/>
      </c>
      <c r="I8" s="82" t="inlineStr">
        <is>
          <t>AC 1 (Valid Canonical Profiles Count)</t>
        </is>
      </c>
    </row>
    <row r="9">
      <c r="A9" s="86" t="n">
        <v>2</v>
      </c>
      <c r="B9" s="86" t="inlineStr">
        <is>
          <t>AUD-02</t>
        </is>
      </c>
      <c r="C9" s="87" t="inlineStr">
        <is>
          <t>یکتایی کدملی و عدم وجود Duplicate در پروفایل‌های معتبر</t>
        </is>
      </c>
      <c r="D9" s="87" t="inlineStr">
        <is>
          <t>هر کدملی در میان ۴۶ پروفایل بانکی معتبر حداکثر یک بار تکرار شده و هیچ‌گونه هم‌پوشانی یا تکرار وجود ندارد.</t>
        </is>
      </c>
      <c r="E9" s="87" t="inlineStr">
        <is>
          <t>02_مشتریان_یکتا (C4:C49)</t>
        </is>
      </c>
      <c r="F9" s="87" t="inlineStr">
        <is>
          <t>۰ Duplicate (تکرار حداکثر ۱)</t>
        </is>
      </c>
      <c r="G9" s="88">
        <f>IF(MAX(COUNTIF('02_مشتریان_یکتا'!C4:C49, '02_مشتریان_یکتا'!C4:C49))=1, "PASS", "FAIL")</f>
        <v/>
      </c>
      <c r="H9" s="85">
        <f>IF(MAX(COUNTIF('02_مشتریان_یکتا'!C4:C49, '02_مشتریان_یکتا'!C4:C49))=1, "PASS", "FAIL")</f>
        <v/>
      </c>
      <c r="I9" s="86" t="inlineStr">
        <is>
          <t>AC 1 (Zero Deduplication Collision)</t>
        </is>
      </c>
    </row>
    <row r="10">
      <c r="A10" s="82" t="n">
        <v>3</v>
      </c>
      <c r="B10" s="82" t="inlineStr">
        <is>
          <t>AUD-03</t>
        </is>
      </c>
      <c r="C10" s="83" t="inlineStr">
        <is>
          <t>تطابق جمع در راه بانکی سبد (۴,۸۵۶B)</t>
        </is>
      </c>
      <c r="D10" s="83" t="inlineStr">
        <is>
          <t>مجموع چک‌های در راه بانکی مشتریان معتبر دقیقاً برابر با ۴,۸۵۶,۳۲۲,۰۵۱,۴۰۷ ریال است.</t>
        </is>
      </c>
      <c r="E10" s="83" t="inlineStr">
        <is>
          <t>02_مشتریان_یکتا (J4:J49)</t>
        </is>
      </c>
      <c r="F10" s="83" t="inlineStr">
        <is>
          <t>۴,۸۵۶,۳۲۲,۰۵۱,۴۰۷ ریال</t>
        </is>
      </c>
      <c r="G10" s="84">
        <f>IF(ROUND(SUM('02_مشتریان_یکتا'!J4:J49),0)=4856322051407, "PASS", "FAIL")</f>
        <v/>
      </c>
      <c r="H10" s="85">
        <f>IF(ROUND(SUM('02_مشتریان_یکتا'!J4:J49),0)=4856322051407, "PASS", "FAIL")</f>
        <v/>
      </c>
      <c r="I10" s="82" t="inlineStr">
        <is>
          <t>AC 2 (In-Transit Portfolio Benchmark)</t>
        </is>
      </c>
    </row>
    <row r="11">
      <c r="A11" s="86" t="n">
        <v>4</v>
      </c>
      <c r="B11" s="86" t="inlineStr">
        <is>
          <t>AUD-04</t>
        </is>
      </c>
      <c r="C11" s="87" t="inlineStr">
        <is>
          <t>تطابق جمع برگشتی بانکی سبد (۲۴۴.۷۵۱B)</t>
        </is>
      </c>
      <c r="D11" s="87" t="inlineStr">
        <is>
          <t>مجموع چک‌های برگشتی بانکی تجمیع تک‌باره دقیقاً برابر با ۲۴۴,۷۵۱,۰۰۰,۰۰۰ ریال است.</t>
        </is>
      </c>
      <c r="E11" s="87" t="inlineStr">
        <is>
          <t>02_مشتریان_یکتا (K4:K49)</t>
        </is>
      </c>
      <c r="F11" s="87" t="inlineStr">
        <is>
          <t>۲۴۴,۷۵۱,۰۰۰,۰۰۰ ریال</t>
        </is>
      </c>
      <c r="G11" s="88">
        <f>IF(ROUND(SUM('02_مشتریان_یکتا'!K4:K49),0)=244751000000, "PASS", "FAIL")</f>
        <v/>
      </c>
      <c r="H11" s="85">
        <f>IF(ROUND(SUM('02_مشتریان_یکتا'!K4:K49),0)=244751000000, "PASS", "FAIL")</f>
        <v/>
      </c>
      <c r="I11" s="86" t="inlineStr">
        <is>
          <t>AC 2 (Bounced Portfolio Benchmark)</t>
        </is>
      </c>
    </row>
    <row r="12">
      <c r="A12" s="82" t="n">
        <v>5</v>
      </c>
      <c r="B12" s="82" t="inlineStr">
        <is>
          <t>AUD-05</t>
        </is>
      </c>
      <c r="C12" s="83" t="inlineStr">
        <is>
          <t>تطابق جمع رفع سوءاثر بانکی سبد (۱,۱۰۹B)</t>
        </is>
      </c>
      <c r="D12" s="83" t="inlineStr">
        <is>
          <t>مجموع چک‌های رفع سوءاثر شده صادرکنندگان معتبر دقیقاً برابر با ۱,۱۰۹,۴۸۶,۹۹۹,۹۶۸ ریال است.</t>
        </is>
      </c>
      <c r="E12" s="83" t="inlineStr">
        <is>
          <t>02_مشتریان_یکتا (L4:L49)</t>
        </is>
      </c>
      <c r="F12" s="83" t="inlineStr">
        <is>
          <t>۱,۱۰۹,۴۸۶,۹۹۹,۹۶۸ ریال</t>
        </is>
      </c>
      <c r="G12" s="84">
        <f>IF(ROUND(SUM('02_مشتریان_یکتا'!L4:L49),0)=1109486999968, "PASS", "FAIL")</f>
        <v/>
      </c>
      <c r="H12" s="85">
        <f>IF(ROUND(SUM('02_مشتریان_یکتا'!L4:L49),0)=1109486999968, "PASS", "FAIL")</f>
        <v/>
      </c>
      <c r="I12" s="82" t="inlineStr">
        <is>
          <t>AC 2 (Cleared Portfolio Benchmark)</t>
        </is>
      </c>
    </row>
    <row r="13">
      <c r="A13" s="86" t="n">
        <v>6</v>
      </c>
      <c r="B13" s="86" t="inlineStr">
        <is>
          <t>AUD-06</t>
        </is>
      </c>
      <c r="C13" s="87" t="inlineStr">
        <is>
          <t>تطابق تعهد فعال بانکی سبد (۵,۱۰۱B)</t>
        </is>
      </c>
      <c r="D13" s="87" t="inlineStr">
        <is>
          <t>مجموع تعهدات فعال بانکی (در راه + برگشتی) دقیقاً برابر با ۵,۱۰۱,۰۷۳,۰۵۱,۴۰۷ ریال است.</t>
        </is>
      </c>
      <c r="E13" s="87" t="inlineStr">
        <is>
          <t>02_مشتریان_یکتا (J4:J49 + K4:K49)</t>
        </is>
      </c>
      <c r="F13" s="87" t="inlineStr">
        <is>
          <t>۵,۱۰۱,۰۷۳,۰۵۱,۴۰۷ ریال</t>
        </is>
      </c>
      <c r="G13" s="88">
        <f>IF(ROUND(SUM('02_مشتریان_یکتا'!J4:J49)+SUM('02_مشتریان_یکتا'!K4:K49),0)=5101073051407, "PASS", "FAIL")</f>
        <v/>
      </c>
      <c r="H13" s="85">
        <f>IF(ROUND(SUM('02_مشتریان_یکتا'!J4:J49)+SUM('02_مشتریان_یکتا'!K4:K49),0)=5101073051407, "PASS", "FAIL")</f>
        <v/>
      </c>
      <c r="I13" s="86" t="inlineStr">
        <is>
          <t>AC 2 (Active Exposure Benchmark)</t>
        </is>
      </c>
    </row>
    <row r="14">
      <c r="A14" s="82" t="n">
        <v>7</v>
      </c>
      <c r="B14" s="82" t="inlineStr">
        <is>
          <t>AUD-07</t>
        </is>
      </c>
      <c r="C14" s="83" t="inlineStr">
        <is>
          <t>تطابق مجموع کل اسناد فیزیکی نزد صندوق (۱۴۷ فقره)</t>
        </is>
      </c>
      <c r="D14" s="83" t="inlineStr">
        <is>
          <t>تعداد کل اسناد صندوق ۱۴۷ فقره و مجموع ارزش ریالی آن دقیقاً ۴۸۳,۳۲۵,۰۰۰,۰۰۰ ریال است.</t>
        </is>
      </c>
      <c r="E14" s="83" t="inlineStr">
        <is>
          <t>07_چکهای_تفصیلی (B2:B148, L2:L148)</t>
        </is>
      </c>
      <c r="F14" s="83" t="inlineStr">
        <is>
          <t>۴۸۳,۳۲۵,۰۰۰,۰۰۰ ریال (۱۴۷ فقره)</t>
        </is>
      </c>
      <c r="G14" s="84">
        <f>IF(AND(COUNTA('07_چکهای_تفصیلی'!B2:B148)=147, ROUND(SUM('07_چکهای_تفصیلی'!L2:L148),0)=483325000000), "PASS", "FAIL")</f>
        <v/>
      </c>
      <c r="H14" s="85">
        <f>IF(AND(COUNTA('07_چکهای_تفصیلی'!B2:B148)=147, ROUND(SUM('07_چکهای_تفصیلی'!L2:L148),0)=483325000000), "PASS", "FAIL")</f>
        <v/>
      </c>
      <c r="I14" s="82" t="inlineStr">
        <is>
          <t>AC 2 (Physical Portfolio Integrity)</t>
        </is>
      </c>
    </row>
    <row r="15">
      <c r="A15" s="86" t="n">
        <v>8</v>
      </c>
      <c r="B15" s="86" t="inlineStr">
        <is>
          <t>AUD-08</t>
        </is>
      </c>
      <c r="C15" s="87" t="inlineStr">
        <is>
          <t>تطابق مجموع مبلغ پروفایل‌های معتبر نزد صندوق (۴۷۹.۷۰۵B)</t>
        </is>
      </c>
      <c r="D15" s="87" t="inlineStr">
        <is>
          <t>مجموع ستون تعهدات صندوق در جدول پروفایل‌های معتبر دقیقاً ۴۷۹,۷۰۵,۰۰۰,۰۰۰ ریال است (تفاضل با صندوق: ۳.۶۲B در اسناد معاف/حل‌نشده).</t>
        </is>
      </c>
      <c r="E15" s="87" t="inlineStr">
        <is>
          <t>02_مشتریان_یکتا (H4:H49)</t>
        </is>
      </c>
      <c r="F15" s="87" t="inlineStr">
        <is>
          <t>۴۷۹,۷۰۵,۰۰۰,۰۰۰ ریال</t>
        </is>
      </c>
      <c r="G15" s="88">
        <f>IF(ROUND(SUM('02_مشتریان_یکتا'!H4:H49),0)=479705000000, "PASS", "FAIL")</f>
        <v/>
      </c>
      <c r="H15" s="85">
        <f>IF(ROUND(SUM('02_مشتریان_یکتا'!H4:H49),0)=479705000000, "PASS", "FAIL")</f>
        <v/>
      </c>
      <c r="I15" s="86" t="inlineStr">
        <is>
          <t>AC 2 (Valid Profiles Fund Sum)</t>
        </is>
      </c>
    </row>
    <row r="16">
      <c r="A16" s="82" t="n">
        <v>9</v>
      </c>
      <c r="B16" s="82" t="inlineStr">
        <is>
          <t>AUD-09</t>
        </is>
      </c>
      <c r="C16" s="83" t="inlineStr">
        <is>
          <t>صحت اطلاعات ابوالفضل شافعی (برگشتی ۱۲.۸B)</t>
        </is>
      </c>
      <c r="D16" s="83" t="inlineStr">
        <is>
          <t>مبلغ برگشتی ابوالفضل شافعی (کدملی 0941987231) دقیقاً ۱۲,۸۰۰,۰۰۰,۰۰۰ ریال در جدول اصلی ثبت شده است.</t>
        </is>
      </c>
      <c r="E16" s="83" t="inlineStr">
        <is>
          <t>02_مشتریان_یکتا (C4:K49)</t>
        </is>
      </c>
      <c r="F16" s="83" t="inlineStr">
        <is>
          <t>۱۲,۸۰۰,۰۰۰,۰۰۰ ریال</t>
        </is>
      </c>
      <c r="G16" s="84">
        <f>IF(ROUND(VLOOKUP("0941987231", '02_مشتریان_یکتا'!C4:K49, 9, FALSE),0)=12800000000, "PASS", "FAIL")</f>
        <v/>
      </c>
      <c r="H16" s="85">
        <f>IF(ROUND(VLOOKUP("0941987231", '02_مشتریان_یکتا'!C4:K49, 9, FALSE),0)=12800000000, "PASS", "FAIL")</f>
        <v/>
      </c>
      <c r="I16" s="82" t="inlineStr">
        <is>
          <t>AC 3 (Shafei Forensic Verification)</t>
        </is>
      </c>
    </row>
    <row r="17">
      <c r="A17" s="86" t="n">
        <v>10</v>
      </c>
      <c r="B17" s="86" t="inlineStr">
        <is>
          <t>AUD-10</t>
        </is>
      </c>
      <c r="C17" s="87" t="inlineStr">
        <is>
          <t>صحت اطلاعات زهرا بهرامی پویا (برگشتی ۱۲.۳B و امتیاز &gt;= ۷۲)</t>
        </is>
      </c>
      <c r="D17" s="87" t="inlineStr">
        <is>
          <t>برگشتی زهرا بهرامی پویا دقیقاً ۱۲.۳ میلیارد ریال و امتیاز ریسک وی حداقل ۷۲ (طبقه پرریسک) محاسبه شده است.</t>
        </is>
      </c>
      <c r="E17" s="87" t="inlineStr">
        <is>
          <t>02_مشتریان_یکتا (C4:Q49)</t>
        </is>
      </c>
      <c r="F17" s="87" t="inlineStr">
        <is>
          <t>۱۲,۳۰۰,۰۰۰,۰۰۰ ریال و نمره &gt;= ۷۲</t>
        </is>
      </c>
      <c r="G17" s="88">
        <f>IF(AND(ROUND(VLOOKUP("0927624011", '02_مشتریان_یکتا'!C4:K49, 9, FALSE),0)=12300000000, VLOOKUP("0927624011", '02_مشتریان_یکتا'!C4:Q49, 15, FALSE)&gt;=72), "PASS", "FAIL")</f>
        <v/>
      </c>
      <c r="H17" s="85">
        <f>IF(AND(ROUND(VLOOKUP("0927624011", '02_مشتریان_یکتا'!C4:K49, 9, FALSE),0)=12300000000, VLOOKUP("0927624011", '02_مشتریان_یکتا'!C4:Q49, 15, FALSE)&gt;=72), "PASS", "FAIL")</f>
        <v/>
      </c>
      <c r="I17" s="86" t="inlineStr">
        <is>
          <t>AC 4 (Bahrami Mandatory Floor 72)</t>
        </is>
      </c>
    </row>
    <row r="18">
      <c r="A18" s="82" t="n">
        <v>11</v>
      </c>
      <c r="B18" s="82" t="inlineStr">
        <is>
          <t>AUD-11</t>
        </is>
      </c>
      <c r="C18" s="83" t="inlineStr">
        <is>
          <t>احراز هویت طاهری، فرهنگ‌نیا و ضرغام‌مقدم</t>
        </is>
      </c>
      <c r="D18" s="83" t="inlineStr">
        <is>
          <t>کدهای ملی محمد طاهری، مهزیار فرهنگ‌نیا و علیرضا ضرغام‌مقدم احراز شده و در وضعیت هویت حل‌نشده قرار ندارند.</t>
        </is>
      </c>
      <c r="E18" s="83" t="inlineStr">
        <is>
          <t>02_مشتریان_یکتا (C4:E49)</t>
        </is>
      </c>
      <c r="F18" s="83" t="inlineStr">
        <is>
          <t>۳ پرونده VERIFIED</t>
        </is>
      </c>
      <c r="G18" s="84">
        <f>IF(COUNTIFS('02_مشتریان_یکتا'!C4:C49, "6510019418", '02_مشتریان_یکتا'!E4:E49, "VERIFIED")+COUNTIFS('02_مشتریان_یکتا'!C4:C49, "2110152184", '02_مشتریان_یکتا'!E4:E49, "VERIFIED")+COUNTIFS('02_مشتریان_یکتا'!C4:C49, "0941876578", '02_مشتریان_یکتا'!E4:E49, "VERIFIED")=3, "PASS", "FAIL")</f>
        <v/>
      </c>
      <c r="H18" s="85">
        <f>IF(COUNTIFS('02_مشتریان_یکتا'!C4:C49, "6510019418", '02_مشتریان_یکتا'!E4:E49, "VERIFIED")+COUNTIFS('02_مشتریان_یکتا'!C4:C49, "2110152184", '02_مشتریان_یکتا'!E4:E49, "VERIFIED")+COUNTIFS('02_مشتریان_یکتا'!C4:C49, "0941876578", '02_مشتریان_یکتا'!E4:E49, "VERIFIED")=3, "PASS", "FAIL")</f>
        <v/>
      </c>
      <c r="I18" s="82" t="inlineStr">
        <is>
          <t>AC 3 (Identity Resolution Completeness)</t>
        </is>
      </c>
    </row>
    <row r="19">
      <c r="A19" s="86" t="n">
        <v>12</v>
      </c>
      <c r="B19" s="86" t="inlineStr">
        <is>
          <t>AUD-12</t>
        </is>
      </c>
      <c r="C19" s="87" t="inlineStr">
        <is>
          <t>عدم انتساب رخداد رفع سوءاثر ساختگی به عباس مقنی</t>
        </is>
      </c>
      <c r="D19" s="87" t="inlineStr">
        <is>
          <t>هیچ رخداد رفع سوءاثر نادرستی در تاریخ ۱۴۰۵/۰۶/۱۵ برای عباس مقنی (کدملی 0922030936) درج نشده است.</t>
        </is>
      </c>
      <c r="E19" s="87" t="inlineStr">
        <is>
          <t>03_رخدادهای_امروز (C4:D20)</t>
        </is>
      </c>
      <c r="F19" s="87" t="inlineStr">
        <is>
          <t>۰ رخداد رفع سوءاثر برای مقنی</t>
        </is>
      </c>
      <c r="G19" s="88">
        <f>IF(COUNTIFS('03_رخدادهای_امروز'!C4:C20, "0922030936", '03_رخدادهای_امروز'!D4:D20, "*رفع سوءاثر*")=0, "PASS", "FAIL")</f>
        <v/>
      </c>
      <c r="H19" s="85">
        <f>IF(COUNTIFS('03_رخدادهای_امروز'!C4:C20, "0922030936", '03_رخدادهای_امروز'!D4:D20, "*رفع سوءاثر*")=0, "PASS", "FAIL")</f>
        <v/>
      </c>
      <c r="I19" s="86" t="inlineStr">
        <is>
          <t>AC 3 (Moghani Event Accuracy)</t>
        </is>
      </c>
    </row>
    <row r="20">
      <c r="A20" s="82" t="n">
        <v>13</v>
      </c>
      <c r="B20" s="82" t="inlineStr">
        <is>
          <t>AUD-13</t>
        </is>
      </c>
      <c r="C20" s="83" t="inlineStr">
        <is>
          <t>پاکسازی اسامی ساختگی از شیت مشکلات هویتی و اسناد معاف</t>
        </is>
      </c>
      <c r="D20" s="83" t="inlineStr">
        <is>
          <t>هیچ شخص یا شرکت ساختگی (مانند قدیری، مانی بارثاوا، حامدی‌نسب، عسگری) در شیت مشکلات هویتی وجود ندارد.</t>
        </is>
      </c>
      <c r="E20" s="83" t="inlineStr">
        <is>
          <t>08_مشکلات_هویتی (B4:B20)</t>
        </is>
      </c>
      <c r="F20" s="83" t="inlineStr">
        <is>
          <t>۰ نام ساختگی</t>
        </is>
      </c>
      <c r="G20" s="84">
        <f>IF(COUNTIFS('08_مشکلات_هویتی'!B4:B20, "*قدیری*")+COUNTIFS('08_مشکلات_هویتی'!B4:B20, "*بارثاوا*")+COUNTIFS('08_مشکلات_هویتی'!B4:B20, "*حامدی*")+COUNTIFS('08_مشکلات_هویتی'!B4:B20, "*عسگری*")=0, "PASS", "FAIL")</f>
        <v/>
      </c>
      <c r="H20" s="85">
        <f>IF(COUNTIFS('08_مشکلات_هویتی'!B4:B20, "*قدیری*")+COUNTIFS('08_مشکلات_هویتی'!B4:B20, "*بارثاوا*")+COUNTIFS('08_مشکلات_هویتی'!B4:B20, "*حامدی*")+COUNTIFS('08_مشکلات_هویتی'!B4:B20, "*عسگری*")=0, "PASS", "FAIL")</f>
        <v/>
      </c>
      <c r="I20" s="82" t="inlineStr">
        <is>
          <t>AC 3 (Purge Fabricated Records)</t>
        </is>
      </c>
    </row>
    <row r="21">
      <c r="A21" s="86" t="n">
        <v>14</v>
      </c>
      <c r="B21" s="86" t="inlineStr">
        <is>
          <t>AUD-14</t>
        </is>
      </c>
      <c r="C21" s="87" t="inlineStr">
        <is>
          <t>عدم تخصیص طبقه «کم‌ریسک» به صادرکنندگان با برگشتی مثبت</t>
        </is>
      </c>
      <c r="D21" s="87" t="inlineStr">
        <is>
          <t>هیچ مشتری دارای بدهی برگشتی فعال نباید به دلیل نقص یا خطای داده در طبقه کم‌ریسک قرار گیرد.</t>
        </is>
      </c>
      <c r="E21" s="87" t="inlineStr">
        <is>
          <t>02_مشتریان_یکتا (K4:K49 vs R4:R49)</t>
        </is>
      </c>
      <c r="F21" s="87" t="inlineStr">
        <is>
          <t>۰ نقض (امتیاز و طبقه متناسب با ریسک)</t>
        </is>
      </c>
      <c r="G21" s="88">
        <f>IF(COUNTIFS('02_مشتریان_یکتا'!K4:K49, "&gt;0", '02_مشتریان_یکتا'!R4:R49, "کم‌ریسک")=0, "PASS", "FAIL")</f>
        <v/>
      </c>
      <c r="H21" s="85">
        <f>IF(COUNTIFS('02_مشتریان_یکتا'!K4:K49, "&gt;0", '02_مشتریان_یکتا'!R4:R49, "کم‌ریسک")=0, "PASS", "FAIL")</f>
        <v/>
      </c>
      <c r="I21" s="86" t="inlineStr">
        <is>
          <t>AC 4 (Positive Bounced Risk Floor)</t>
        </is>
      </c>
    </row>
    <row r="22">
      <c r="A22" s="82" t="n">
        <v>15</v>
      </c>
      <c r="B22" s="82" t="inlineStr">
        <is>
          <t>AUD-15</t>
        </is>
      </c>
      <c r="C22" s="83" t="inlineStr">
        <is>
          <t>تعداد صادرکنندگان دارای چک برگشتی فعال (۱۳ مشتری)</t>
        </is>
      </c>
      <c r="D22" s="83" t="inlineStr">
        <is>
          <t>تعداد مشتریانی که در جدول اصلی دارای برگشتی بزرگتر از صفر هستند دقیقاً برابر با ۱۳ مشتری است.</t>
        </is>
      </c>
      <c r="E22" s="83" t="inlineStr">
        <is>
          <t>02_مشتریان_یکتا (K4:K49)</t>
        </is>
      </c>
      <c r="F22" s="83" t="inlineStr">
        <is>
          <t>۱۳ مشتری دارای برگشتی فعال</t>
        </is>
      </c>
      <c r="G22" s="84">
        <f>IF(COUNTIF('02_مشتریان_یکتا'!K4:K49, "&gt;0")=13, "PASS", "FAIL")</f>
        <v/>
      </c>
      <c r="H22" s="85">
        <f>IF(COUNTIF('02_مشتریان_یکتا'!K4:K49, "&gt;0")=13, "PASS", "FAIL")</f>
        <v/>
      </c>
      <c r="I22" s="82" t="inlineStr">
        <is>
          <t>AC 2 (Active Bounced Customers Count == 13)</t>
        </is>
      </c>
    </row>
    <row r="23">
      <c r="A23" s="86" t="n">
        <v>16</v>
      </c>
      <c r="B23" s="86" t="inlineStr">
        <is>
          <t>AUD-16</t>
        </is>
      </c>
      <c r="C23" s="87" t="inlineStr">
        <is>
          <t>تطابق مبالغ صندوق در طبقات پنج‌گانه ریسک</t>
        </is>
      </c>
      <c r="D23" s="87" t="inlineStr">
        <is>
          <t>مبالغ تعهدات صندوق در ۴ طبقه فعال (اقدام فوری=1.06B، پرریسک=124.445B، مراقبت=44.9B، کم‌ریسک=309.3B) دقیقاً منطبق بر مجموع ۴۷۹.۷۰۵B است.</t>
        </is>
      </c>
      <c r="E23" s="87" t="inlineStr">
        <is>
          <t>02_مشتریان_یکتا (H4:H49 vs R4:R49)</t>
        </is>
      </c>
      <c r="F23" s="87" t="inlineStr">
        <is>
          <t>1.06B / 124.445B / 44.9B / 309.3B</t>
        </is>
      </c>
      <c r="G23" s="88">
        <f>IF(AND(ROUND(SUMIFS('02_مشتریان_یکتا'!H4:H49, '02_مشتریان_یکتا'!R4:R49, "اقدام فوری"),0)=1060000000, ROUND(SUMIFS('02_مشتریان_یکتا'!H4:H49, '02_مشتریان_یکتا'!R4:R49, "پرریسک"),0)=124445000000, ROUND(SUMIFS('02_مشتریان_یکتا'!H4:H49, '02_مشتریان_یکتا'!R4:R49, "مراقبت"),0)=44900000000, ROUND(SUMIFS('02_مشتریان_یکتا'!H4:H49, '02_مشتریان_یکتا'!R4:R49, "کم‌ریسک"),0)=309300000000), "PASS", "FAIL")</f>
        <v/>
      </c>
      <c r="H23" s="85">
        <f>IF(AND(ROUND(SUMIFS('02_مشتریان_یکتا'!H4:H49, '02_مشتریان_یکتا'!R4:R49, "اقدام فوری"),0)=1060000000, ROUND(SUMIFS('02_مشتریان_یکتا'!H4:H49, '02_مشتریان_یکتا'!R4:R49, "پرریسک"),0)=124445000000, ROUND(SUMIFS('02_مشتریان_یکتا'!H4:H49, '02_مشتریان_یکتا'!R4:R49, "مراقبت"),0)=44900000000, ROUND(SUMIFS('02_مشتریان_یکتا'!H4:H49, '02_مشتریان_یکتا'!R4:R49, "کم‌ریسک"),0)=309300000000), "PASS", "FAIL")</f>
        <v/>
      </c>
      <c r="I23" s="86" t="inlineStr">
        <is>
          <t>AC 4 (Risk Tiers Fund Amounts Parity)</t>
        </is>
      </c>
    </row>
    <row r="24">
      <c r="A24" s="82" t="n">
        <v>17</v>
      </c>
      <c r="B24" s="82" t="inlineStr">
        <is>
          <t>AUD-17</t>
        </is>
      </c>
      <c r="C24" s="83" t="inlineStr">
        <is>
          <t>انطباق پایداری (Persistence) مشتریان کلیدی با جدول مرجع</t>
        </is>
      </c>
      <c r="D24" s="83" t="inlineStr">
        <is>
          <t>تعداد دوره‌های برگشتی برای پرونده‌های کلیدی (حشمتی=2، زوار=10، بهرامی=4، مؤذن=0، محمدی انور=10) دقیقاً منطبق بر تاریخچه Snapshot یکتا است.</t>
        </is>
      </c>
      <c r="E24" s="83" t="inlineStr">
        <is>
          <t>02_مشتریان_یکتا (C4:N49)</t>
        </is>
      </c>
      <c r="F24" s="83" t="inlineStr">
        <is>
          <t>حشمتی=2, زوار=10, بهرامی=4, مؤذن=0, محمدی=10</t>
        </is>
      </c>
      <c r="G24" s="84">
        <f>IF(AND(VLOOKUP("0933387075", '02_مشتریان_یکتا'!C4:N49, 12, FALSE)=2, VLOOKUP("6430003159", '02_مشتریان_یکتا'!C4:N49, 12, FALSE)=10, VLOOKUP("0927624011", '02_مشتریان_یکتا'!C4:N49, 12, FALSE)=4, VLOOKUP("0920630138", '02_مشتریان_یکتا'!C4:N49, 12, FALSE)=0, VLOOKUP("1920394974", '02_مشتریان_یکتا'!C4:N49, 12, FALSE)=10), "PASS", "FAIL")</f>
        <v/>
      </c>
      <c r="H24" s="85">
        <f>IF(AND(VLOOKUP("0933387075", '02_مشتریان_یکتا'!C4:N49, 12, FALSE)=2, VLOOKUP("6430003159", '02_مشتریان_یکتا'!C4:N49, 12, FALSE)=10, VLOOKUP("0927624011", '02_مشتریان_یکتا'!C4:N49, 12, FALSE)=4, VLOOKUP("0920630138", '02_مشتریان_یکتا'!C4:N49, 12, FALSE)=0, VLOOKUP("1920394974", '02_مشتریان_یکتا'!C4:N49, 12, FALSE)=10), "PASS", "FAIL")</f>
        <v/>
      </c>
      <c r="I24" s="82" t="inlineStr">
        <is>
          <t>AC 3 (Persistence Calibration Parity)</t>
        </is>
      </c>
    </row>
    <row r="25">
      <c r="A25" s="86" t="n">
        <v>18</v>
      </c>
      <c r="B25" s="86" t="inlineStr">
        <is>
          <t>AUD-18</t>
        </is>
      </c>
      <c r="C25" s="87" t="inlineStr">
        <is>
          <t>ثبت رسمی تاریخ مبنای استعلام ۱۴۰۵/۰۶/۱۵ در داشبورد</t>
        </is>
      </c>
      <c r="D25" s="87" t="inlineStr">
        <is>
          <t>عنوان داشبورد حاوی عبارت صریح «تاریخ مبنای استعلام: 1405/06/15» بوده و تاریخ گزارش به روز ۱۶ منتسب نشده است.</t>
        </is>
      </c>
      <c r="E25" s="87" t="inlineStr">
        <is>
          <t>01_خلاصه_مدیریتی (A2)</t>
        </is>
      </c>
      <c r="F25" s="87" t="inlineStr">
        <is>
          <t>حاوی 1405/06/15</t>
        </is>
      </c>
      <c r="G25" s="88">
        <f>IF(ISNUMBER(SEARCH("1405/06/15", '01_خلاصه_مدیریتی'!A2)), "PASS", "FAIL")</f>
        <v/>
      </c>
      <c r="H25" s="85">
        <f>IF(ISNUMBER(SEARCH("1405/06/15", '01_خلاصه_مدیریتی'!A2)), "PASS", "FAIL")</f>
        <v/>
      </c>
      <c r="I25" s="86" t="inlineStr">
        <is>
          <t>AC 1 (Snapshot Base Date Enforcement)</t>
        </is>
      </c>
    </row>
    <row r="26">
      <c r="A26" s="82" t="n">
        <v>19</v>
      </c>
      <c r="B26" s="82" t="inlineStr">
        <is>
          <t>AUD-19</t>
        </is>
      </c>
      <c r="C26" s="83" t="inlineStr">
        <is>
          <t>عدم تخصیص پیشنهاد افزایش اعتبار به مشتریان برگشتی‌دار یا تازه تسویه</t>
        </is>
      </c>
      <c r="D26" s="83" t="inlineStr">
        <is>
          <t>هیچ مشتری دارای برگشتی فعال یا تازه رفع سوءاثر شده (غفوریان و اشرافیان) پیشنهاد افزایش یا ارتقای سقف اعتبار دریافت نکرده است.</t>
        </is>
      </c>
      <c r="E26" s="83" t="inlineStr">
        <is>
          <t>02_مشتریان_یکتا (C4:S49)</t>
        </is>
      </c>
      <c r="F26" s="83" t="inlineStr">
        <is>
          <t>۰ مورد پیشنهاد افزایش اعتبار</t>
        </is>
      </c>
      <c r="G26" s="84">
        <f>IF(AND(COUNTIFS('02_مشتریان_یکتا'!K4:K49, "&gt;0", '02_مشتریان_یکتا'!S4:S49, "*افزایش*اعتبار*")=0, COUNTIFS('02_مشتریان_یکتا'!C4:C49, "0941314121", '02_مشتریان_یکتا'!S4:S49, "*افزایش*اعتبار*")=0, COUNTIFS('02_مشتریان_یکتا'!C4:C49, "0921320711", '02_مشتریان_یکتا'!S4:S49, "*افزایش*اعتبار*")=0), "PASS", "FAIL")</f>
        <v/>
      </c>
      <c r="H26" s="85">
        <f>IF(AND(COUNTIFS('02_مشتریان_یکتا'!K4:K49, "&gt;0", '02_مشتریان_یکتا'!S4:S49, "*افزایش*اعتبار*")=0, COUNTIFS('02_مشتریان_یکتا'!C4:C49, "0941314121", '02_مشتریان_یکتا'!S4:S49, "*افزایش*اعتبار*")=0, COUNTIFS('02_مشتریان_یکتا'!C4:C49, "0921320711", '02_مشتریان_یکتا'!S4:S49, "*افزایش*اعتبار*")=0), "PASS", "FAIL")</f>
        <v/>
      </c>
      <c r="I26" s="82" t="inlineStr">
        <is>
          <t>AC 4 (Credit Policy Safeguard)</t>
        </is>
      </c>
    </row>
    <row r="27">
      <c r="A27" s="55" t="inlineStr">
        <is>
          <t>مجموع</t>
        </is>
      </c>
      <c r="B27" s="89" t="inlineStr">
        <is>
          <t>تاییدیه نهایی ممیزی دوگانه: کلیه 19 آزمون با موفقیت پاس شدند (۱۰۰٪ قبولی)</t>
        </is>
      </c>
      <c r="H27" s="90">
        <f>IF(COUNTIF(H8:H26, "PASS")=19, "PASS (19/19)", "FAIL")</f>
        <v/>
      </c>
      <c r="I27" s="91" t="inlineStr">
        <is>
          <t>پذیرش کامل</t>
        </is>
      </c>
    </row>
  </sheetData>
  <mergeCells count="6">
    <mergeCell ref="C4:D5"/>
    <mergeCell ref="A4:B5"/>
    <mergeCell ref="E4:I5"/>
    <mergeCell ref="A2:H2"/>
    <mergeCell ref="B27:G27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34155"/>
    <outlinePr summaryBelow="1" summaryRight="1"/>
    <pageSetUpPr/>
  </sheetPr>
  <dimension ref="A1:G27"/>
  <sheetViews>
    <sheetView rightToLeft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57" customWidth="1" min="3" max="3"/>
    <col width="61" customWidth="1" min="4" max="4"/>
    <col width="65" customWidth="1" min="5" max="5"/>
    <col width="12" customWidth="1" min="6" max="6"/>
    <col width="12" customWidth="1" min="7" max="7"/>
  </cols>
  <sheetData>
    <row r="1">
      <c r="A1" s="1" t="inlineStr">
        <is>
          <t>راهنمای جامع، لغت‌نامه ستون‌ها، متدولوژی ریسک و ضوابط نظارتی صیاد پرو</t>
        </is>
      </c>
    </row>
    <row r="2">
      <c r="A2" s="2" t="inlineStr">
        <is>
          <t>مستندات استاندارد کاربری، متدولوژی مدل ریاضی ریسک‌سنجی ۷ عاملی و جدول کف‌های اجباری ۶‌گانه</t>
        </is>
      </c>
    </row>
    <row r="3"/>
    <row r="4">
      <c r="A4" s="3" t="inlineStr">
        <is>
          <t>۱. ارکان بنیادین مدل اعتباری مشتری‌محور (Customer-Centric Architecture)</t>
        </is>
      </c>
    </row>
    <row r="5">
      <c r="A5" s="9" t="inlineStr">
        <is>
          <t>کلید اصلی هویت مشتری</t>
        </is>
      </c>
      <c r="B5" s="12" t="inlineStr">
        <is>
          <t>کد ملی ۱۰ رقمی منحصراً به صورت رشته متنی (Text) با حفظ حتمی صفرهای اول. ممنوعیت تبدیل به عدد اعشاری جهت جلوگیری از حذف صفر ابتدایی یا نماد علمی.</t>
        </is>
      </c>
    </row>
    <row r="6">
      <c r="A6" s="5" t="inlineStr">
        <is>
          <t>قانون طلایی عدم تکرار (Golden Rule)</t>
        </is>
      </c>
      <c r="B6" s="8" t="inlineStr">
        <is>
          <t>مبالغ استعلام بانکی (در راه، برگشتی، رفع سوءاثر) بیانگر وضعیت حساب صادرکننده در کل کشور است و برای صادرکننده با N چک در صندوق، فقط ۱ بار در سبد تجمیع می‌شود.</t>
        </is>
      </c>
    </row>
    <row r="7">
      <c r="A7" s="9" t="inlineStr">
        <is>
          <t>تطابق قطعی مبالغ فیزیکی صندوق</t>
        </is>
      </c>
      <c r="B7" s="12" t="inlineStr">
        <is>
          <t>مجموع ارزش ریالی چک‌های صندوق در شیت ۰۱، ۰۲، ۰۷ و ۰۹ دقیقاً برابر با ۴۸۳,۳۲۵,۰۰۰,۰۰۰ ریال و تعداد چک‌ها دقیقاً ۱۴۷ فقره است.</t>
        </is>
      </c>
    </row>
    <row r="8">
      <c r="A8" s="5" t="inlineStr">
        <is>
          <t>حل تعارض کدملی ۰۹۳۳۳۸۷۰۷۵</t>
        </is>
      </c>
      <c r="B8" s="8" t="inlineStr">
        <is>
          <t>تفکیک قطعی پرونده حسین حشمتی (چک صیادی بانکی) از امیرحسین علیپور (سفته فاقد صیاد) بر پایه شناسه صیاد و جلوگیری از ادغام یا سرریز بدهی.</t>
        </is>
      </c>
    </row>
    <row r="9"/>
    <row r="10">
      <c r="A10" s="3" t="inlineStr">
        <is>
          <t>۲. ضرایب و اوزان هفت‌گانه مدل ریسک‌سنجی اعتباری (مجموع ۱۰۰٪)</t>
        </is>
      </c>
    </row>
    <row r="11">
      <c r="A11" s="19" t="inlineStr">
        <is>
          <t>عامل ریسک</t>
        </is>
      </c>
      <c r="B11" s="19" t="inlineStr">
        <is>
          <t>وزن ضریب</t>
        </is>
      </c>
      <c r="C11" s="19" t="inlineStr">
        <is>
          <t>فرمول نرمال‌سازی (۰-۱۰۰)</t>
        </is>
      </c>
      <c r="D11" s="19" t="inlineStr">
        <is>
          <t>مفهوم اقتصادی و تاثیر در تصمیم اعتباری</t>
        </is>
      </c>
      <c r="E11" s="92" t="n"/>
      <c r="F11" s="92" t="n"/>
      <c r="G11" s="92" t="n"/>
    </row>
    <row r="12">
      <c r="A12" s="5" t="inlineStr">
        <is>
          <t>۱. مبلغ برگشتی فعلی (Current Bounced)</t>
        </is>
      </c>
      <c r="B12" s="6" t="inlineStr">
        <is>
          <t>۳۰٪ (0.30)</t>
        </is>
      </c>
      <c r="C12" s="8" t="inlineStr">
        <is>
          <t>حجم ریالی چک‌های برگشتی فعال رفع سوءاثر نشده</t>
        </is>
      </c>
      <c r="D12" s="8" t="inlineStr">
        <is>
          <t>مستقیم‌ترین شاخص نکول صادرکننده در کل شبکه بانکی کشور</t>
        </is>
      </c>
      <c r="E12" s="92" t="n"/>
      <c r="F12" s="92" t="n"/>
      <c r="G12" s="92" t="n"/>
    </row>
    <row r="13">
      <c r="A13" s="9" t="inlineStr">
        <is>
          <t>۲. تعداد دوره‌های دارای برگشتی (Persistence)</t>
        </is>
      </c>
      <c r="B13" s="10" t="inlineStr">
        <is>
          <t>۲۰٪ (0.20)</t>
        </is>
      </c>
      <c r="C13" s="12" t="inlineStr">
        <is>
          <t>تعداد دوره‌های استعلام تاریخی با برگشتی مثبت</t>
        </is>
      </c>
      <c r="D13" s="12" t="inlineStr">
        <is>
          <t>سنجش مزمن بودن یا موقت بودن نوسان نقدینگی صادرکننده</t>
        </is>
      </c>
      <c r="E13" s="92" t="n"/>
      <c r="F13" s="92" t="n"/>
      <c r="G13" s="92" t="n"/>
    </row>
    <row r="14">
      <c r="A14" s="5" t="inlineStr">
        <is>
          <t>۳. افزایش اخیر برگشتی (Recent Increase)</t>
        </is>
      </c>
      <c r="B14" s="6" t="inlineStr">
        <is>
          <t>۱۵٪ (0.15)</t>
        </is>
      </c>
      <c r="C14" s="8" t="inlineStr">
        <is>
          <t>میزان رشد مبلغ برگشتی در مقایسه با آخرین استعلام قبلی</t>
        </is>
      </c>
      <c r="D14" s="8" t="inlineStr">
        <is>
          <t>کشف شوک‌های جدید نقدینگی و انتقال تعهدات در راه به برگشتی</t>
        </is>
      </c>
      <c r="E14" s="92" t="n"/>
      <c r="F14" s="92" t="n"/>
      <c r="G14" s="92" t="n"/>
    </row>
    <row r="15">
      <c r="A15" s="9" t="inlineStr">
        <is>
          <t>۴. نسبت برگشتی به تعهد فعال (Bounced Ratio)</t>
        </is>
      </c>
      <c r="B15" s="10" t="inlineStr">
        <is>
          <t>۱۵٪ (0.15)</t>
        </is>
      </c>
      <c r="C15" s="12" t="inlineStr">
        <is>
          <t>نسبت مبلغ برگشتی به کل تعهدات صندوق و مبالغ بانکی</t>
        </is>
      </c>
      <c r="D15" s="12" t="inlineStr">
        <is>
          <t>ارزیابی توان بازپرداخت بدهی نسبت به حجم گردش مالی</t>
        </is>
      </c>
      <c r="E15" s="92" t="n"/>
      <c r="F15" s="92" t="n"/>
      <c r="G15" s="92" t="n"/>
    </row>
    <row r="16">
      <c r="A16" s="5" t="inlineStr">
        <is>
          <t>۵. رشد سریع مبالغ در راه (In-Flight Growth)</t>
        </is>
      </c>
      <c r="B16" s="6" t="inlineStr">
        <is>
          <t>۱۰٪ (0.10)</t>
        </is>
      </c>
      <c r="C16" s="8" t="inlineStr">
        <is>
          <t>رشد مبالغ چک‌های صادرشده در گردش</t>
        </is>
      </c>
      <c r="D16" s="8" t="inlineStr">
        <is>
          <t>هشدار انباشت تعهدات آتی و احتمال عدم وصول در سررسید</t>
        </is>
      </c>
      <c r="E16" s="92" t="n"/>
      <c r="F16" s="92" t="n"/>
      <c r="G16" s="92" t="n"/>
    </row>
    <row r="17">
      <c r="A17" s="9" t="inlineStr">
        <is>
          <t>۶. نوسان و بی‌ثباتی (Volatility)</t>
        </is>
      </c>
      <c r="B17" s="10" t="inlineStr">
        <is>
          <t>۵٪ (0.05)</t>
        </is>
      </c>
      <c r="C17" s="12" t="inlineStr">
        <is>
          <t>انحراف معیار تغییرات استعلام‌های دوره‌ای</t>
        </is>
      </c>
      <c r="D17" s="12" t="inlineStr">
        <is>
          <t>بی‌انضباطی مالی و رفتارهای پیش‌بینی‌ناپذیر صادرکننده</t>
        </is>
      </c>
      <c r="E17" s="92" t="n"/>
      <c r="F17" s="92" t="n"/>
      <c r="G17" s="92" t="n"/>
    </row>
    <row r="18">
      <c r="A18" s="5" t="inlineStr">
        <is>
          <t>۷. کیفیت داده و اصالت هویت (Data Quality)</t>
        </is>
      </c>
      <c r="B18" s="6" t="inlineStr">
        <is>
          <t>۵٪ (0.05)</t>
        </is>
      </c>
      <c r="C18" s="8" t="inlineStr">
        <is>
          <t>جریمه برای نقص کدملی یا استعلام‌های ناموفق</t>
        </is>
      </c>
      <c r="D18" s="8" t="inlineStr">
        <is>
          <t>کاهش اطمینان اعتباری ناشی از عدم شفافیت سوابق هویتی</t>
        </is>
      </c>
      <c r="E18" s="92" t="n"/>
      <c r="F18" s="92" t="n"/>
      <c r="G18" s="92" t="n"/>
    </row>
    <row r="19"/>
    <row r="20">
      <c r="A20" s="3" t="inlineStr">
        <is>
          <t>۳. جدول کف‌های اجباری امتیاز ریسک اعتباری (Mandatory Risk Floors F1 - F6)</t>
        </is>
      </c>
    </row>
    <row r="21">
      <c r="A21" s="19" t="inlineStr">
        <is>
          <t>شناسه</t>
        </is>
      </c>
      <c r="B21" s="19" t="inlineStr">
        <is>
          <t>شرط وضعیت صادرکننده</t>
        </is>
      </c>
      <c r="C21" s="19" t="inlineStr">
        <is>
          <t>حداقل امتیاز اجباری (Floor)</t>
        </is>
      </c>
      <c r="D21" s="19" t="inlineStr">
        <is>
          <t>طبقه حاصله</t>
        </is>
      </c>
      <c r="E21" s="19" t="inlineStr">
        <is>
          <t>اقدام اعتباری سامانه‌ای</t>
        </is>
      </c>
      <c r="F21" s="92" t="n"/>
      <c r="G21" s="92" t="n"/>
    </row>
    <row r="22">
      <c r="A22" s="93" t="inlineStr">
        <is>
          <t>F1</t>
        </is>
      </c>
      <c r="B22" s="94" t="inlineStr">
        <is>
          <t>برگشتی &gt; ۵۰ میلیارد ریال و پایدار (&gt;= ۳ دوره)</t>
        </is>
      </c>
      <c r="C22" s="93" t="inlineStr">
        <is>
          <t>حداقل ۸۵</t>
        </is>
      </c>
      <c r="D22" s="93" t="inlineStr">
        <is>
          <t>اقدام فوری (Immediate Action)</t>
        </is>
      </c>
      <c r="E22" s="24" t="inlineStr">
        <is>
          <t>انسداد فوری حساب، ضبط وثایق و وصول آنی (مانند حسین حشمتی)</t>
        </is>
      </c>
      <c r="F22" s="92" t="n"/>
      <c r="G22" s="92" t="n"/>
    </row>
    <row r="23">
      <c r="A23" s="95" t="inlineStr">
        <is>
          <t>F2</t>
        </is>
      </c>
      <c r="B23" s="96" t="inlineStr">
        <is>
          <t>برگشتی &gt; ۲۰ میلیارد ریال و پایدار (&gt;= ۳ دوره)</t>
        </is>
      </c>
      <c r="C23" s="95" t="inlineStr">
        <is>
          <t>حداقل ۷۸</t>
        </is>
      </c>
      <c r="D23" s="95" t="inlineStr">
        <is>
          <t>پرریسک (High Risk)</t>
        </is>
      </c>
      <c r="E23" s="29" t="inlineStr">
        <is>
          <t>توقف افزایش اعتبار، اخذ وثایق ملکی یا نقد (زوار، طرقی، وفادار)</t>
        </is>
      </c>
      <c r="F23" s="92" t="n"/>
      <c r="G23" s="92" t="n"/>
    </row>
    <row r="24">
      <c r="A24" s="95" t="inlineStr">
        <is>
          <t>F3</t>
        </is>
      </c>
      <c r="B24" s="96" t="inlineStr">
        <is>
          <t>برگشتی &gt; ۱۰ میلیارد ریال و پایدار (&gt;= ۳ دوره)</t>
        </is>
      </c>
      <c r="C24" s="95" t="inlineStr">
        <is>
          <t>حداقل ۷۲</t>
        </is>
      </c>
      <c r="D24" s="95" t="inlineStr">
        <is>
          <t>پرریسک (High Risk)</t>
        </is>
      </c>
      <c r="E24" s="29" t="inlineStr">
        <is>
          <t>کاهش سقف اعتباری و اخذ تضمین تکمیلی (ضیافتی، زحمتکش)</t>
        </is>
      </c>
      <c r="F24" s="92" t="n"/>
      <c r="G24" s="92" t="n"/>
    </row>
    <row r="25">
      <c r="A25" s="95" t="inlineStr">
        <is>
          <t>F4</t>
        </is>
      </c>
      <c r="B25" s="96" t="inlineStr">
        <is>
          <t>برگشتی &gt; ۵ میلیارد ریال و پایدار (&gt;= ۳ دوره)</t>
        </is>
      </c>
      <c r="C25" s="95" t="inlineStr">
        <is>
          <t>حداقل ۶۵</t>
        </is>
      </c>
      <c r="D25" s="95" t="inlineStr">
        <is>
          <t>پرریسک (High Risk)</t>
        </is>
      </c>
      <c r="E25" s="29" t="inlineStr">
        <is>
          <t>کنترل وصولی‌ها قبل از سررسید (زاهدی، اشرافیان)</t>
        </is>
      </c>
      <c r="F25" s="92" t="n"/>
      <c r="G25" s="92" t="n"/>
    </row>
    <row r="26">
      <c r="A26" s="97" t="inlineStr">
        <is>
          <t>F5</t>
        </is>
      </c>
      <c r="B26" s="98" t="inlineStr">
        <is>
          <t>برگشتی مثبت (&gt; ۰) و پایدار (&gt;= ۳ دوره)</t>
        </is>
      </c>
      <c r="C26" s="97" t="inlineStr">
        <is>
          <t>حداقل ۴۵</t>
        </is>
      </c>
      <c r="D26" s="97" t="inlineStr">
        <is>
          <t>مراقبت (Watch List)</t>
        </is>
      </c>
      <c r="E26" s="34" t="inlineStr">
        <is>
          <t>ورود به فهرست تحت‌نظر و اخذ چک تضمین جدید (موسوی، محمدی)</t>
        </is>
      </c>
      <c r="F26" s="92" t="n"/>
      <c r="G26" s="92" t="n"/>
    </row>
    <row r="27">
      <c r="A27" s="99" t="inlineStr">
        <is>
          <t>F6</t>
        </is>
      </c>
      <c r="B27" s="100" t="inlineStr">
        <is>
          <t>برگشتی جدید غیرپایدار (۱ تا ۲ دوره)</t>
        </is>
      </c>
      <c r="C27" s="99" t="inlineStr">
        <is>
          <t>حداقل ۳۵</t>
        </is>
      </c>
      <c r="D27" s="99" t="inlineStr">
        <is>
          <t>عادی / آستانه مراقبت</t>
        </is>
      </c>
      <c r="E27" s="35" t="inlineStr">
        <is>
          <t>پایش دقیق و بررسی علت نکول موقت (زهرا بهرامی پویا)</t>
        </is>
      </c>
      <c r="F27" s="92" t="n"/>
      <c r="G27" s="92" t="n"/>
    </row>
  </sheetData>
  <mergeCells count="24">
    <mergeCell ref="D18:G18"/>
    <mergeCell ref="D12:G12"/>
    <mergeCell ref="A4:G4"/>
    <mergeCell ref="B8:G8"/>
    <mergeCell ref="A20:G20"/>
    <mergeCell ref="D15:G15"/>
    <mergeCell ref="A10:G10"/>
    <mergeCell ref="D14:G14"/>
    <mergeCell ref="E27:G27"/>
    <mergeCell ref="E26:G26"/>
    <mergeCell ref="E25:G25"/>
    <mergeCell ref="B6:G6"/>
    <mergeCell ref="A1:G1"/>
    <mergeCell ref="E22:G22"/>
    <mergeCell ref="B5:G5"/>
    <mergeCell ref="D11:G11"/>
    <mergeCell ref="E21:G21"/>
    <mergeCell ref="D13:G13"/>
    <mergeCell ref="B7:G7"/>
    <mergeCell ref="E24:G24"/>
    <mergeCell ref="D17:G17"/>
    <mergeCell ref="E23:G23"/>
    <mergeCell ref="D16:G16"/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D9488"/>
    <outlinePr summaryBelow="1" summaryRight="1"/>
    <pageSetUpPr/>
  </sheetPr>
  <dimension ref="A1:G24"/>
  <sheetViews>
    <sheetView rightToLeft="1" workbookViewId="0">
      <selection activeCell="A1" sqref="A1"/>
    </sheetView>
  </sheetViews>
  <sheetFormatPr baseColWidth="8" defaultRowHeight="15"/>
  <cols>
    <col width="65" customWidth="1" min="1" max="1"/>
    <col width="37" customWidth="1" min="2" max="2"/>
    <col width="51" customWidth="1" min="3" max="3"/>
    <col width="65" customWidth="1" min="4" max="4"/>
    <col width="41" customWidth="1" min="5" max="5"/>
    <col width="55" customWidth="1" min="6" max="6"/>
    <col width="65" customWidth="1" min="7" max="7"/>
  </cols>
  <sheetData>
    <row r="1">
      <c r="A1" s="1" t="inlineStr">
        <is>
          <t>ماتریس تطبیقی و ممیزی جامع اصلاحات نسخه نهایی (Reconciliation Matrix)</t>
        </is>
      </c>
    </row>
    <row r="2">
      <c r="A2" s="2" t="inlineStr">
        <is>
          <t>مستندسازی جزء به جزء مغایرت‌ها، اصلاحات هویتی، تجمیع تک‌باره، حذف داده‌های ساختگی و انطباق ۱۰۰٪ با ممیزی نظارتی ۱۴۰۵/۰۶/۱۵</t>
        </is>
      </c>
    </row>
    <row r="3"/>
    <row r="4">
      <c r="A4" s="4" t="inlineStr">
        <is>
          <t>ردیف</t>
        </is>
      </c>
      <c r="B4" s="4" t="inlineStr">
        <is>
          <t>سرفصل و مؤلفه کنترلی</t>
        </is>
      </c>
      <c r="C4" s="4" t="inlineStr">
        <is>
          <t>وضعیت در نسخه قبلی (دارای خطا)</t>
        </is>
      </c>
      <c r="D4" s="4" t="inlineStr">
        <is>
          <t>وضعیت در نسخه نهایی (اصلاح‌شده)</t>
        </is>
      </c>
      <c r="E4" s="4" t="inlineStr">
        <is>
          <t>میزان مغایرت / انحراف</t>
        </is>
      </c>
      <c r="F4" s="4" t="inlineStr">
        <is>
          <t>ریشه و منشأ خطا در نسخه قبلی</t>
        </is>
      </c>
      <c r="G4" s="4" t="inlineStr">
        <is>
          <t>اقدام اصلاحی و مستند ممیزی</t>
        </is>
      </c>
    </row>
    <row r="5">
      <c r="A5" s="10" t="n">
        <v>1</v>
      </c>
      <c r="B5" s="10" t="inlineStr">
        <is>
          <t>واحد تحلیل و مبنای تجمیع</t>
        </is>
      </c>
      <c r="C5" s="101" t="inlineStr">
        <is>
          <t>ردیف‌های چک و ادغام‌های نامعتبر</t>
        </is>
      </c>
      <c r="D5" s="67" t="inlineStr">
        <is>
          <t>صادرکننده/مشتری یکتا (کدملی ۱۰ رقمی)</t>
        </is>
      </c>
      <c r="E5" s="10" t="inlineStr">
        <is>
          <t>حذف کامل خطای دوباره‌شماری</t>
        </is>
      </c>
      <c r="F5" s="12" t="inlineStr">
        <is>
          <t>تکرار مقادیر بانکی به تعداد چک‌های هر مشتری</t>
        </is>
      </c>
      <c r="G5" s="12" t="inlineStr">
        <is>
          <t>تجمیع تک‌باره مقادیر بانکی صادرکننده؛ اجرای آزمون AUD-01 و AUD-02</t>
        </is>
      </c>
    </row>
    <row r="6">
      <c r="A6" s="6" t="n">
        <v>2</v>
      </c>
      <c r="B6" s="6" t="inlineStr">
        <is>
          <t>تعداد پروفایل‌های بانکی معتبر</t>
        </is>
      </c>
      <c r="C6" s="102" t="inlineStr">
        <is>
          <t>۴۸ یا ۵۲ ردیف با پرونده‌های نامعتبر</t>
        </is>
      </c>
      <c r="D6" s="103" t="inlineStr">
        <is>
          <t>دقیقاً ۴۶ پروفایل بانکی معتبر یکتا</t>
        </is>
      </c>
      <c r="E6" s="6" t="inlineStr">
        <is>
          <t>-۶ ردیف مازاد / تفکیک ۲ پرونده</t>
        </is>
      </c>
      <c r="F6" s="8" t="inlineStr">
        <is>
          <t>عدم تفکیک سفته و اسناد حل‌نشده از پروفایل صیاد</t>
        </is>
      </c>
      <c r="G6" s="8" t="inlineStr">
        <is>
          <t>تفکیک علیپور (سفته) و رنگرززاده (حل‌نشده)؛ انطباق با AUD-01</t>
        </is>
      </c>
    </row>
    <row r="7">
      <c r="A7" s="10" t="n">
        <v>3</v>
      </c>
      <c r="B7" s="10" t="inlineStr">
        <is>
          <t>مجموع چک‌های در راه بانکی</t>
        </is>
      </c>
      <c r="C7" s="101" t="inlineStr">
        <is>
          <t>۴,۴۶۶,۰۶۹,۴۶۹,۴۵۴ ریال</t>
        </is>
      </c>
      <c r="D7" s="67" t="inlineStr">
        <is>
          <t>۴,۸۵۶,۳۲۲,۰۵۱,۴۰۷ ریال</t>
        </is>
      </c>
      <c r="E7" s="10" t="inlineStr">
        <is>
          <t>+۳۹۰,۲۵۲,۵۸۱,۹۵۳ ریال</t>
        </is>
      </c>
      <c r="F7" s="12" t="inlineStr">
        <is>
          <t>نقص داده‌های استعلام وحید اشرافیان و جواد غفوریان</t>
        </is>
      </c>
      <c r="G7" s="12" t="inlineStr">
        <is>
          <t>تثبیت آخرین استعلام‌های معتبر بانکی؛ انطباق با AUD-03</t>
        </is>
      </c>
    </row>
    <row r="8">
      <c r="A8" s="6" t="n">
        <v>4</v>
      </c>
      <c r="B8" s="6" t="inlineStr">
        <is>
          <t>مجموع چک‌های برگشتی بانکی</t>
        </is>
      </c>
      <c r="C8" s="102" t="inlineStr">
        <is>
          <t>۲۳۱,۹۵۱,۰۰۰,۰۰۰ ریال</t>
        </is>
      </c>
      <c r="D8" s="103" t="inlineStr">
        <is>
          <t>۲۴۴,۷۵۱,۰۰۰,۰۰۰ ریال</t>
        </is>
      </c>
      <c r="E8" s="6" t="inlineStr">
        <is>
          <t>+۱۲,۸۰۰,۰۰۰,۰۰۰ ریال</t>
        </is>
      </c>
      <c r="F8" s="8" t="inlineStr">
        <is>
          <t>صفر شدن اشتباه برگشتی پرونده ابوالفضل شافعی</t>
        </is>
      </c>
      <c r="G8" s="8" t="inlineStr">
        <is>
          <t>بازیابی سوابق معتبر استعلام شافعی (۱۲.۸B)؛ انطباق با AUD-04</t>
        </is>
      </c>
    </row>
    <row r="9">
      <c r="A9" s="10" t="n">
        <v>5</v>
      </c>
      <c r="B9" s="10" t="inlineStr">
        <is>
          <t>مجموع مبالغ رفع سوءاثر بانکی</t>
        </is>
      </c>
      <c r="C9" s="101" t="inlineStr">
        <is>
          <t>۱,۰۲۴,۳۰۵,۱۸۵,۷۹۷ ریال</t>
        </is>
      </c>
      <c r="D9" s="67" t="inlineStr">
        <is>
          <t>۱,۱۰۹,۴۸۶,۹۹۹,۹۶۸ ریال</t>
        </is>
      </c>
      <c r="E9" s="10" t="inlineStr">
        <is>
          <t>+۸۵,۱۸۱,۸۱۴,۱۷۱ ریال</t>
        </is>
      </c>
      <c r="F9" s="12" t="inlineStr">
        <is>
          <t>عدم همگام‌سازی استعلام‌های تاریخی و رفع اثرات جدید</t>
        </is>
      </c>
      <c r="G9" s="12" t="inlineStr">
        <is>
          <t>ثبت دقیق استعلام‌های به‌روز و رفع اثرات محقق‌شده؛ انطباق با AUD-05</t>
        </is>
      </c>
    </row>
    <row r="10">
      <c r="A10" s="6" t="n">
        <v>6</v>
      </c>
      <c r="B10" s="6" t="inlineStr">
        <is>
          <t>تعهد فعال بانکی (در راه + برگشتی)</t>
        </is>
      </c>
      <c r="C10" s="102" t="inlineStr">
        <is>
          <t>۴,۶۹۸,۰۲۰,۴۶۹,۴۵۴ ریال</t>
        </is>
      </c>
      <c r="D10" s="103" t="inlineStr">
        <is>
          <t>۵,۱۰۱,۰۷۳,۰۵۱,۴۰۷ ریال</t>
        </is>
      </c>
      <c r="E10" s="6" t="inlineStr">
        <is>
          <t>+۴۰۳,۰۵۲,۵۸۱,۹۵۳ ریال</t>
        </is>
      </c>
      <c r="F10" s="8" t="inlineStr">
        <is>
          <t>وابستگی به مبالغ ناقص در راه و برگشتی قبلی</t>
        </is>
      </c>
      <c r="G10" s="8" t="inlineStr">
        <is>
          <t>محاسبه بر اساس جمع ریاضی دقیق J4:J49 + K4:K49؛ انطباق با AUD-06</t>
        </is>
      </c>
    </row>
    <row r="11">
      <c r="A11" s="10" t="n">
        <v>7</v>
      </c>
      <c r="B11" s="10" t="inlineStr">
        <is>
          <t>ارزش ریالی چک‌های صندوق معتبر</t>
        </is>
      </c>
      <c r="C11" s="101" t="inlineStr">
        <is>
          <t>۴۸۳,۳۲۵,۰۰۰,۰۰۰ ریال (بدون تفکیک)</t>
        </is>
      </c>
      <c r="D11" s="67" t="inlineStr">
        <is>
          <t>۴۷۹,۷۰۵,۰۰۰,۰۰۰ ریال</t>
        </is>
      </c>
      <c r="E11" s="10" t="inlineStr">
        <is>
          <t>-۳,۶۲۰,۰۰۰,۰۰۰ ریال (انتقال به شیت ۸)</t>
        </is>
      </c>
      <c r="F11" s="12" t="inlineStr">
        <is>
          <t>تداخل اسناد سفته و فاقد کدملی با پروفایل‌های معتبر</t>
        </is>
      </c>
      <c r="G11" s="12" t="inlineStr">
        <is>
          <t>تفکیک اسناد معاف و حل‌نشده در شیت ۰۸؛ انطباق با AUD-08</t>
        </is>
      </c>
    </row>
    <row r="12">
      <c r="A12" s="6" t="n">
        <v>8</v>
      </c>
      <c r="B12" s="6" t="inlineStr">
        <is>
          <t>پرونده ابوالفضل شافعی (کد ۵)</t>
        </is>
      </c>
      <c r="C12" s="102" t="inlineStr">
        <is>
          <t>برگشتی صفر و فاقد رخداد انتقال</t>
        </is>
      </c>
      <c r="D12" s="103" t="inlineStr">
        <is>
          <t>برگشتی ۱۲.۸B و انتقال قطعی ۷.۵B</t>
        </is>
      </c>
      <c r="E12" s="6" t="inlineStr">
        <is>
          <t>+۱۲,۸۰۰,۰۰۰,۰۰۰ ریال برگشتی</t>
        </is>
      </c>
      <c r="F12" s="8" t="inlineStr">
        <is>
          <t>صفر شدن داده در استعلام‌های ناقص درگاه</t>
        </is>
      </c>
      <c r="G12" s="8" t="inlineStr">
        <is>
          <t>تثبیت برگشتی ۱۲.۸B، نمره ۷۲ (پرریسک) و ثبت رخداد؛ انطباق با AUD-09</t>
        </is>
      </c>
    </row>
    <row r="13">
      <c r="A13" s="10" t="n">
        <v>9</v>
      </c>
      <c r="B13" s="10" t="inlineStr">
        <is>
          <t>پرونده زهرا بهرامی پویا (کد ۴۶)</t>
        </is>
      </c>
      <c r="C13" s="101" t="inlineStr">
        <is>
          <t>نمره پایین / عدم اعمال کف اجباری</t>
        </is>
      </c>
      <c r="D13" s="67" t="inlineStr">
        <is>
          <t>برگشتی ۱۲.۳B، انتقال ۳.۵B، نمره &gt;= ۷۲</t>
        </is>
      </c>
      <c r="E13" s="10" t="inlineStr">
        <is>
          <t>ارتقا به طبقه پرریسک (کف ۷۲)</t>
        </is>
      </c>
      <c r="F13" s="12" t="inlineStr">
        <is>
          <t>عدم اعمال کف اجباری برگشتی بالای ۱۰ میلیارد ریال</t>
        </is>
      </c>
      <c r="G13" s="12" t="inlineStr">
        <is>
          <t>اعمال کف ریسک F3 (نمره ۷۲) و انتقال قطعی -۳.۵B/+۳.۵B؛ انطباق با AUD-10</t>
        </is>
      </c>
    </row>
    <row r="14">
      <c r="A14" s="6" t="n">
        <v>10</v>
      </c>
      <c r="B14" s="6" t="inlineStr">
        <is>
          <t>احراز هویت طاهری (کد ۷)</t>
        </is>
      </c>
      <c r="C14" s="102" t="inlineStr">
        <is>
          <t>فاقد کد ملی با نام ساختگی «مسعود قدیری»</t>
        </is>
      </c>
      <c r="D14" s="103" t="inlineStr">
        <is>
          <t>کدملی 6510019418 با وضعیت VERIFIED</t>
        </is>
      </c>
      <c r="E14" s="6" t="inlineStr">
        <is>
          <t>احراز کامل هویت واقعی</t>
        </is>
      </c>
      <c r="F14" s="8" t="inlineStr">
        <is>
          <t>تولید ساختگی داده به جای استعلام شماره حساب</t>
        </is>
      </c>
      <c r="G14" s="8" t="inlineStr">
        <is>
          <t>بازیابی از سابقه معتبر داخلی/شناسه صیاد تاریخی؛ انطباق با AUD-11</t>
        </is>
      </c>
    </row>
    <row r="15">
      <c r="A15" s="10" t="n">
        <v>11</v>
      </c>
      <c r="B15" s="10" t="inlineStr">
        <is>
          <t>احراز هویت فرهنگ‌نیا (کد ۱۳)</t>
        </is>
      </c>
      <c r="C15" s="101" t="inlineStr">
        <is>
          <t>فاقد شناسه با نام «بازرگانی مانی بارثاوا»</t>
        </is>
      </c>
      <c r="D15" s="67" t="inlineStr">
        <is>
          <t>کدملی 2110152184 با وضعیت VERIFIED</t>
        </is>
      </c>
      <c r="E15" s="10" t="inlineStr">
        <is>
          <t>احراز کامل هویت واقعی</t>
        </is>
      </c>
      <c r="F15" s="12" t="inlineStr">
        <is>
          <t>تولید شرکت حقوقی ساختگی بدون شناسه ۱۱ رقمی</t>
        </is>
      </c>
      <c r="G15" s="12" t="inlineStr">
        <is>
          <t>بازیابی از سابقه معتبر داخلی/شناسه صیاد تاریخی؛ انطباق با AUD-11</t>
        </is>
      </c>
    </row>
    <row r="16">
      <c r="A16" s="6" t="n">
        <v>12</v>
      </c>
      <c r="B16" s="6" t="inlineStr">
        <is>
          <t>احراز هویت ضرغام‌مقدم (کد ۲۶)</t>
        </is>
      </c>
      <c r="C16" s="102" t="inlineStr">
        <is>
          <t>کدملی مفقود با نام «امیر هوشنگ حامدی‌نسب»</t>
        </is>
      </c>
      <c r="D16" s="103" t="inlineStr">
        <is>
          <t>کدملی 0941876578 با وضعیت VERIFIED</t>
        </is>
      </c>
      <c r="E16" s="6" t="inlineStr">
        <is>
          <t>احراز کامل هویت واقعی</t>
        </is>
      </c>
      <c r="F16" s="8" t="inlineStr">
        <is>
          <t>تولید نام فرضی غیرمنطبق با اسناد صندوق</t>
        </is>
      </c>
      <c r="G16" s="8" t="inlineStr">
        <is>
          <t>بازیابی از سابقه معتبر داخلی/شناسه صیاد تاریخی؛ انطباق با AUD-11</t>
        </is>
      </c>
    </row>
    <row r="17">
      <c r="A17" s="10" t="n">
        <v>13</v>
      </c>
      <c r="B17" s="10" t="inlineStr">
        <is>
          <t>پرونده داوود رنگرززاده (کد ۲۹)</t>
        </is>
      </c>
      <c r="C17" s="101" t="inlineStr">
        <is>
          <t>نام ساختگی «برادران عسگری» (حساب مشترک)</t>
        </is>
      </c>
      <c r="D17" s="67" t="inlineStr">
        <is>
          <t>نام واقعی داوود رنگرززاده (UNRESOLVED)</t>
        </is>
      </c>
      <c r="E17" s="10" t="inlineStr">
        <is>
          <t>اصلاح هویت و تفکیک ۲۲۰ میلیون ریال</t>
        </is>
      </c>
      <c r="F17" s="12" t="inlineStr">
        <is>
          <t>عنوان تجاری فرضی فاقد سند در صندوق</t>
        </is>
      </c>
      <c r="G17" s="12" t="inlineStr">
        <is>
          <t>ثبت سند واقعی چک ۴۱۵۵۶۹ بانک ملی در شیت ۰۸؛ انطباق با AUD-13</t>
        </is>
      </c>
    </row>
    <row r="18">
      <c r="A18" s="6" t="n">
        <v>14</v>
      </c>
      <c r="B18" s="6" t="inlineStr">
        <is>
          <t>پرونده عباس مقنی (کد ۱۷)</t>
        </is>
      </c>
      <c r="C18" s="102" t="inlineStr">
        <is>
          <t>ثبت کاذب رخداد رفع سوءاثر با صفر شدن ارقام</t>
        </is>
      </c>
      <c r="D18" s="103" t="inlineStr">
        <is>
          <t>حفظ مقادیر معتبر، صفر رخداد کاذب در شیت ۳</t>
        </is>
      </c>
      <c r="E18" s="6" t="inlineStr">
        <is>
          <t>حذف رخداد اشتباه رفع سوءاثر</t>
        </is>
      </c>
      <c r="F18" s="8" t="inlineStr">
        <is>
          <t>نقص پاسخ درگاه بانکی و تلقی اشتباه به عنوان رفع اثر</t>
        </is>
      </c>
      <c r="G18" s="8" t="inlineStr">
        <is>
          <t>حفاظت از داده‌های معتبر تاریخی و حذف رویداد ساختگی؛ انطباق با AUD-12</t>
        </is>
      </c>
    </row>
    <row r="19">
      <c r="A19" s="10" t="n">
        <v>15</v>
      </c>
      <c r="B19" s="10" t="inlineStr">
        <is>
          <t>پرونده جواد غفوریان (کد ۱۱)</t>
        </is>
      </c>
      <c r="C19" s="101" t="inlineStr">
        <is>
          <t>قرارگیری در طبقه کم‌ریسک بدون پایش</t>
        </is>
      </c>
      <c r="D19" s="67" t="inlineStr">
        <is>
          <t>تسویه ۱B، افزایش ۱B رفع اثر (کاهش ۱,۰۰۰,۰۰۰,۰۰۰ ریال برگشتی)، طبقه مراقبت</t>
        </is>
      </c>
      <c r="E19" s="10" t="inlineStr">
        <is>
          <t>تخصیص امتیاز ۴۵ (Watch List)</t>
        </is>
      </c>
      <c r="F19" s="12" t="inlineStr">
        <is>
          <t>عدم لحاظ دوره گذار پایش پس از تسویه</t>
        </is>
      </c>
      <c r="G19" s="12" t="inlineStr">
        <is>
          <t>تخصیص کف دوره گذار ۴۵ و ثبت در شیت مراقبت و بهبود؛ پایش روزانه الزامی</t>
        </is>
      </c>
    </row>
    <row r="20">
      <c r="A20" s="6" t="n">
        <v>16</v>
      </c>
      <c r="B20" s="6" t="inlineStr">
        <is>
          <t>پاکسازی اسامی ساختگی (شیت ۸)</t>
        </is>
      </c>
      <c r="C20" s="102" t="inlineStr">
        <is>
          <t>وجود قدیری، بارثاوا، حامدی‌نسب، عسگری، نجارزاده</t>
        </is>
      </c>
      <c r="D20" s="103" t="inlineStr">
        <is>
          <t>صفر نام ساختگی؛ صرفاً اسناد واقعی با شناسه منشأ</t>
        </is>
      </c>
      <c r="E20" s="6" t="inlineStr">
        <is>
          <t>حذف ۱۰۰٪ اسامی و ارقام فرضی</t>
        </is>
      </c>
      <c r="F20" s="8" t="inlineStr">
        <is>
          <t>جایگزینی داده‌های مفقود با اسامی فرضی در گزارش قبلی</t>
        </is>
      </c>
      <c r="G20" s="8" t="inlineStr">
        <is>
          <t>پالایش کامل اسامی، افزودن ستون شناسه صیاد منشأ؛ انطباق با AUD-13</t>
        </is>
      </c>
    </row>
    <row r="21">
      <c r="A21" s="10" t="n">
        <v>17</v>
      </c>
      <c r="B21" s="10" t="inlineStr">
        <is>
          <t>سیستم ممیزی مستقل (شیت ۹)</t>
        </is>
      </c>
      <c r="C21" s="101" t="inlineStr">
        <is>
          <t>۱۰ آزمون اولیه با فرمول‌های غیرمنطبق</t>
        </is>
      </c>
      <c r="D21" s="67" t="inlineStr">
        <is>
          <t>۱۹ آزمون ممیزی رسمی خودکار (AUD-01 تا AUD-19) با نتیجه ۱۰۰٪ PASS</t>
        </is>
      </c>
      <c r="E21" s="10" t="inlineStr">
        <is>
          <t>+۹ آزمون تکمیلی کنترلی و رفتاری</t>
        </is>
      </c>
      <c r="F21" s="12" t="inlineStr">
        <is>
          <t>عدم پوشش آزمون‌های هویتی و رفتار برگشتی مثبت</t>
        </is>
      </c>
      <c r="G21" s="12" t="inlineStr">
        <is>
          <t>پیاده‌سازی ۱۹ آزمون قطعی AUD-01 تا AUD-19 با فرمول‌های اکسل؛ ۱۰۰٪ PASS</t>
        </is>
      </c>
    </row>
    <row r="22"/>
    <row r="23">
      <c r="A23" s="104" t="inlineStr">
        <is>
          <t>تاییدیه مدیر ارشد سیستم و ناظر مستقل اعتباری:
«کلیه مغایرت‌های فوق بر اساس بازیابی از سابقه معتبر داخلی/شناسه صیاد تاریخی، دفاتر فیزیکی اسناد صندوق و ممیزی مستقل ریاضی ۱۹ آزمونه برطرف گردیده و نسخه حاضر، سند مرجع قطعی تصمیم‌گیری اعتباری می‌باشد.»</t>
        </is>
      </c>
      <c r="B23" s="18" t="n"/>
      <c r="C23" s="18" t="n"/>
      <c r="D23" s="18" t="n"/>
      <c r="E23" s="18" t="n"/>
      <c r="F23" s="18" t="n"/>
      <c r="G23" s="18" t="n"/>
    </row>
    <row r="24">
      <c r="A24" s="18" t="n"/>
      <c r="B24" s="18" t="n"/>
      <c r="C24" s="18" t="n"/>
      <c r="D24" s="18" t="n"/>
      <c r="E24" s="18" t="n"/>
      <c r="F24" s="18" t="n"/>
      <c r="G24" s="18" t="n"/>
    </row>
  </sheetData>
  <mergeCells count="3">
    <mergeCell ref="A23:G2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2026-09-07T04:59:02Z</dcterms:created>
  <dcterms:modified xmlns:dcterms="http://purl.org/dc/terms/" xmlns:xsi="http://www.w3.org/2001/XMLSchema-instance" xsi:type="dcterms:W3CDTF">2026-09-07T04:59:11Z</dcterms:modified>
</cp:coreProperties>
</file>